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ydi\Desktop\"/>
    </mc:Choice>
  </mc:AlternateContent>
  <bookViews>
    <workbookView xWindow="-105" yWindow="-105" windowWidth="23250" windowHeight="12570" tabRatio="575"/>
  </bookViews>
  <sheets>
    <sheet name="main" sheetId="25" r:id="rId1"/>
    <sheet name="coding" sheetId="7" r:id="rId2"/>
    <sheet name="database" sheetId="17" r:id="rId3"/>
  </sheets>
  <definedNames>
    <definedName name="_xlnm._FilterDatabase" localSheetId="1" hidden="1">coding!$A$1:$B$108</definedName>
    <definedName name="_xlnm._FilterDatabase" localSheetId="2" hidden="1">database!$A$2:$AA$765</definedName>
  </definedNames>
  <calcPr calcId="162913"/>
</workbook>
</file>

<file path=xl/calcChain.xml><?xml version="1.0" encoding="utf-8"?>
<calcChain xmlns="http://schemas.openxmlformats.org/spreadsheetml/2006/main">
  <c r="B7" i="25" l="1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3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B138" i="25"/>
  <c r="B139" i="25"/>
  <c r="B140" i="25"/>
  <c r="B141" i="25"/>
  <c r="B142" i="25"/>
  <c r="B143" i="25"/>
  <c r="B144" i="25"/>
  <c r="B145" i="25"/>
  <c r="B146" i="25"/>
  <c r="B147" i="25"/>
  <c r="B148" i="25"/>
  <c r="B149" i="25"/>
  <c r="B150" i="25"/>
  <c r="B151" i="25"/>
  <c r="B152" i="25"/>
  <c r="B153" i="25"/>
  <c r="B154" i="25"/>
  <c r="B155" i="25"/>
  <c r="B156" i="25"/>
  <c r="B157" i="25"/>
  <c r="B158" i="25"/>
  <c r="B159" i="25"/>
  <c r="B160" i="25"/>
  <c r="B161" i="25"/>
  <c r="B162" i="25"/>
  <c r="B163" i="25"/>
  <c r="B164" i="25"/>
  <c r="B165" i="25"/>
  <c r="B166" i="25"/>
  <c r="B167" i="25"/>
  <c r="B168" i="25"/>
  <c r="B169" i="25"/>
  <c r="B170" i="25"/>
  <c r="B171" i="25"/>
  <c r="B172" i="25"/>
  <c r="B173" i="25"/>
  <c r="B174" i="25"/>
  <c r="B175" i="25"/>
  <c r="B176" i="25"/>
  <c r="B177" i="25"/>
  <c r="B178" i="25"/>
  <c r="B179" i="25"/>
  <c r="B180" i="25"/>
  <c r="B181" i="25"/>
  <c r="B182" i="25"/>
  <c r="B183" i="25"/>
  <c r="B184" i="25"/>
  <c r="B185" i="25"/>
  <c r="B186" i="25"/>
  <c r="B187" i="25"/>
  <c r="B188" i="25"/>
  <c r="B189" i="25"/>
  <c r="B190" i="25"/>
  <c r="B191" i="25"/>
  <c r="B192" i="25"/>
  <c r="B193" i="25"/>
  <c r="B194" i="25"/>
  <c r="B195" i="25"/>
  <c r="B196" i="25"/>
  <c r="B197" i="25"/>
  <c r="B198" i="25"/>
  <c r="B199" i="25"/>
  <c r="B200" i="25"/>
  <c r="B201" i="25"/>
  <c r="B202" i="25"/>
  <c r="B203" i="25"/>
  <c r="B204" i="25"/>
  <c r="B205" i="25"/>
  <c r="B206" i="25"/>
  <c r="B207" i="25"/>
  <c r="B208" i="25"/>
  <c r="B209" i="25"/>
  <c r="B210" i="25"/>
  <c r="B211" i="25"/>
  <c r="B212" i="25"/>
  <c r="B213" i="25"/>
  <c r="B214" i="25"/>
  <c r="B215" i="25"/>
  <c r="B216" i="25"/>
  <c r="B217" i="25"/>
  <c r="B218" i="25"/>
  <c r="B219" i="25"/>
  <c r="B220" i="25"/>
  <c r="B221" i="25"/>
  <c r="B222" i="25"/>
  <c r="B223" i="25"/>
  <c r="B224" i="25"/>
  <c r="B225" i="25"/>
  <c r="B226" i="25"/>
  <c r="B227" i="25"/>
  <c r="B228" i="25"/>
  <c r="B229" i="25"/>
  <c r="B230" i="25"/>
  <c r="B231" i="25"/>
  <c r="B232" i="25"/>
  <c r="B233" i="25"/>
  <c r="B234" i="25"/>
  <c r="B235" i="25"/>
  <c r="B236" i="25"/>
  <c r="B237" i="25"/>
  <c r="B238" i="25"/>
  <c r="B239" i="25"/>
  <c r="B240" i="25"/>
  <c r="B241" i="25"/>
  <c r="B242" i="25"/>
  <c r="B243" i="25"/>
  <c r="B244" i="25"/>
  <c r="B245" i="25"/>
  <c r="B246" i="25"/>
  <c r="B247" i="25"/>
  <c r="B248" i="25"/>
  <c r="B249" i="25"/>
  <c r="B250" i="25"/>
  <c r="B251" i="25"/>
  <c r="B252" i="25"/>
  <c r="B253" i="25"/>
  <c r="B254" i="25"/>
  <c r="B255" i="25"/>
  <c r="B256" i="25"/>
  <c r="B257" i="25"/>
  <c r="B258" i="25"/>
  <c r="B259" i="25"/>
  <c r="B260" i="25"/>
  <c r="B261" i="25"/>
  <c r="B262" i="25"/>
  <c r="B263" i="25"/>
  <c r="B264" i="25"/>
  <c r="B265" i="25"/>
  <c r="B266" i="25"/>
  <c r="B267" i="25"/>
  <c r="B268" i="25"/>
  <c r="B269" i="25"/>
  <c r="B270" i="25"/>
  <c r="B271" i="25"/>
  <c r="B272" i="25"/>
  <c r="B273" i="25"/>
  <c r="B274" i="25"/>
  <c r="B275" i="25"/>
  <c r="B276" i="25"/>
  <c r="B277" i="25"/>
  <c r="B278" i="25"/>
  <c r="B279" i="25"/>
  <c r="B280" i="25"/>
  <c r="B281" i="25"/>
  <c r="B282" i="25"/>
  <c r="B283" i="25"/>
  <c r="B284" i="25"/>
  <c r="B285" i="25"/>
  <c r="B286" i="25"/>
  <c r="B287" i="25"/>
  <c r="B288" i="25"/>
  <c r="B289" i="25"/>
  <c r="B290" i="25"/>
  <c r="B291" i="25"/>
  <c r="B292" i="25"/>
  <c r="B293" i="25"/>
  <c r="B294" i="25"/>
  <c r="B295" i="25"/>
  <c r="B296" i="25"/>
  <c r="B297" i="25"/>
  <c r="B298" i="25"/>
  <c r="B299" i="25"/>
  <c r="B300" i="25"/>
  <c r="B301" i="25"/>
  <c r="B302" i="25"/>
  <c r="B303" i="25"/>
  <c r="B304" i="25"/>
  <c r="B305" i="25"/>
  <c r="B306" i="25"/>
  <c r="B307" i="25"/>
  <c r="B308" i="25"/>
  <c r="B309" i="25"/>
  <c r="B310" i="25"/>
  <c r="B311" i="25"/>
  <c r="B312" i="25"/>
  <c r="B313" i="25"/>
  <c r="B314" i="25"/>
  <c r="B315" i="25"/>
  <c r="B316" i="25"/>
  <c r="B317" i="25"/>
  <c r="B318" i="25"/>
  <c r="B319" i="25"/>
  <c r="B320" i="25"/>
  <c r="B321" i="25"/>
  <c r="B322" i="25"/>
  <c r="B323" i="25"/>
  <c r="B324" i="25"/>
  <c r="B325" i="25"/>
  <c r="B326" i="25"/>
  <c r="B327" i="25"/>
  <c r="B328" i="25"/>
  <c r="B329" i="25"/>
  <c r="B330" i="25"/>
  <c r="B331" i="25"/>
  <c r="B332" i="25"/>
  <c r="B333" i="25"/>
  <c r="B334" i="25"/>
  <c r="B335" i="25"/>
  <c r="B336" i="25"/>
  <c r="B337" i="25"/>
  <c r="B338" i="25"/>
  <c r="B339" i="25"/>
  <c r="B340" i="25"/>
  <c r="B341" i="25"/>
  <c r="B342" i="25"/>
  <c r="B343" i="25"/>
  <c r="B344" i="25"/>
  <c r="B345" i="25"/>
  <c r="B346" i="25"/>
  <c r="B347" i="25"/>
  <c r="B348" i="25"/>
  <c r="B349" i="25"/>
  <c r="B350" i="25"/>
  <c r="B351" i="25"/>
  <c r="B352" i="25"/>
  <c r="B353" i="25"/>
  <c r="B354" i="25"/>
  <c r="B355" i="25"/>
  <c r="B356" i="25"/>
  <c r="B357" i="25"/>
  <c r="B358" i="25"/>
  <c r="B359" i="25"/>
  <c r="B360" i="25"/>
  <c r="B361" i="25"/>
  <c r="B362" i="25"/>
  <c r="B363" i="25"/>
  <c r="B364" i="25"/>
  <c r="B365" i="25"/>
  <c r="B366" i="25"/>
  <c r="B367" i="25"/>
  <c r="B368" i="25"/>
  <c r="B369" i="25"/>
  <c r="B370" i="25"/>
  <c r="B371" i="25"/>
  <c r="B372" i="25"/>
  <c r="B373" i="25"/>
  <c r="B374" i="25"/>
  <c r="B375" i="25"/>
  <c r="B376" i="25"/>
  <c r="B377" i="25"/>
  <c r="B378" i="25"/>
  <c r="B379" i="25"/>
  <c r="B380" i="25"/>
  <c r="B381" i="25"/>
  <c r="B382" i="25"/>
  <c r="B383" i="25"/>
  <c r="B384" i="25"/>
  <c r="B385" i="25"/>
  <c r="B386" i="25"/>
  <c r="B387" i="25"/>
  <c r="B388" i="25"/>
  <c r="B389" i="25"/>
  <c r="B390" i="25"/>
  <c r="B391" i="25"/>
  <c r="B392" i="25"/>
  <c r="B393" i="25"/>
  <c r="B394" i="25"/>
  <c r="B395" i="25"/>
  <c r="B396" i="25"/>
  <c r="B397" i="25"/>
  <c r="B398" i="25"/>
  <c r="B399" i="25"/>
  <c r="B400" i="25"/>
  <c r="B401" i="25"/>
  <c r="B402" i="25"/>
  <c r="B403" i="25"/>
  <c r="B404" i="25"/>
  <c r="B405" i="25"/>
  <c r="B406" i="25"/>
  <c r="B407" i="25"/>
  <c r="B408" i="25"/>
  <c r="B409" i="25"/>
  <c r="B410" i="25"/>
  <c r="B411" i="25"/>
  <c r="B412" i="25"/>
  <c r="B413" i="25"/>
  <c r="B414" i="25"/>
  <c r="B415" i="25"/>
  <c r="B416" i="25"/>
  <c r="B417" i="25"/>
  <c r="B418" i="25"/>
  <c r="B419" i="25"/>
  <c r="B420" i="25"/>
  <c r="B421" i="25"/>
  <c r="B422" i="25"/>
  <c r="B423" i="25"/>
  <c r="B424" i="25"/>
  <c r="B425" i="25"/>
  <c r="B426" i="25"/>
  <c r="B427" i="25"/>
  <c r="B428" i="25"/>
  <c r="B429" i="25"/>
  <c r="B430" i="25"/>
  <c r="B431" i="25"/>
  <c r="B432" i="25"/>
  <c r="B433" i="25"/>
  <c r="B434" i="25"/>
  <c r="B435" i="25"/>
  <c r="B436" i="25"/>
  <c r="B437" i="25"/>
  <c r="B438" i="25"/>
  <c r="B439" i="25"/>
  <c r="B440" i="25"/>
  <c r="B441" i="25"/>
  <c r="B442" i="25"/>
  <c r="B443" i="25"/>
  <c r="B444" i="25"/>
  <c r="B445" i="25"/>
  <c r="B446" i="25"/>
  <c r="B447" i="25"/>
  <c r="B448" i="25"/>
  <c r="B449" i="25"/>
  <c r="B450" i="25"/>
  <c r="B451" i="25"/>
  <c r="B452" i="25"/>
  <c r="B453" i="25"/>
  <c r="B454" i="25"/>
  <c r="B455" i="25"/>
  <c r="B456" i="25"/>
  <c r="B457" i="25"/>
  <c r="B458" i="25"/>
  <c r="B459" i="25"/>
  <c r="B460" i="25"/>
  <c r="B461" i="25"/>
  <c r="B462" i="25"/>
  <c r="B463" i="25"/>
  <c r="B464" i="25"/>
  <c r="B465" i="25"/>
  <c r="B466" i="25"/>
  <c r="B467" i="25"/>
  <c r="B468" i="25"/>
  <c r="B469" i="25"/>
  <c r="B470" i="25"/>
  <c r="B471" i="25"/>
  <c r="B472" i="25"/>
  <c r="B473" i="25"/>
  <c r="B474" i="25"/>
  <c r="B475" i="25"/>
  <c r="B476" i="25"/>
  <c r="B477" i="25"/>
  <c r="B478" i="25"/>
  <c r="B479" i="25"/>
  <c r="B480" i="25"/>
  <c r="B481" i="25"/>
  <c r="B482" i="25"/>
  <c r="B483" i="25"/>
  <c r="B484" i="25"/>
  <c r="B485" i="25"/>
  <c r="B486" i="25"/>
  <c r="B487" i="25"/>
  <c r="B488" i="25"/>
  <c r="B489" i="25"/>
  <c r="B490" i="25"/>
  <c r="B491" i="25"/>
  <c r="B492" i="25"/>
  <c r="B493" i="25"/>
  <c r="B494" i="25"/>
  <c r="B495" i="25"/>
  <c r="B496" i="25"/>
  <c r="B497" i="25"/>
  <c r="B498" i="25"/>
  <c r="B499" i="25"/>
  <c r="B500" i="25"/>
  <c r="B501" i="25"/>
  <c r="B502" i="25"/>
  <c r="B503" i="25"/>
  <c r="B504" i="25"/>
  <c r="B505" i="25"/>
  <c r="B506" i="25"/>
  <c r="B507" i="25"/>
  <c r="B508" i="25"/>
  <c r="B509" i="25"/>
  <c r="B510" i="25"/>
  <c r="B511" i="25"/>
  <c r="B512" i="25"/>
  <c r="B513" i="25"/>
  <c r="B514" i="25"/>
  <c r="B515" i="25"/>
  <c r="B516" i="25"/>
  <c r="B517" i="25"/>
  <c r="B518" i="25"/>
  <c r="B519" i="25"/>
  <c r="B520" i="25"/>
  <c r="B521" i="25"/>
  <c r="B522" i="25"/>
  <c r="B523" i="25"/>
  <c r="B524" i="25"/>
  <c r="B525" i="25"/>
  <c r="B526" i="25"/>
  <c r="B527" i="25"/>
  <c r="B528" i="25"/>
  <c r="B529" i="25"/>
  <c r="B530" i="25"/>
  <c r="B531" i="25"/>
  <c r="B532" i="25"/>
  <c r="B533" i="25"/>
  <c r="B534" i="25"/>
  <c r="B535" i="25"/>
  <c r="B536" i="25"/>
  <c r="B537" i="25"/>
  <c r="B538" i="25"/>
  <c r="B539" i="25"/>
  <c r="B540" i="25"/>
  <c r="B541" i="25"/>
  <c r="B542" i="25"/>
  <c r="B543" i="25"/>
  <c r="B544" i="25"/>
  <c r="B545" i="25"/>
  <c r="B546" i="25"/>
  <c r="B547" i="25"/>
  <c r="B548" i="25"/>
  <c r="B549" i="25"/>
  <c r="B550" i="25"/>
  <c r="B551" i="25"/>
  <c r="B552" i="25"/>
  <c r="B553" i="25"/>
  <c r="B554" i="25"/>
  <c r="B555" i="25"/>
  <c r="B556" i="25"/>
  <c r="B557" i="25"/>
  <c r="B558" i="25"/>
  <c r="B559" i="25"/>
  <c r="B560" i="25"/>
  <c r="B561" i="25"/>
  <c r="B562" i="25"/>
  <c r="B563" i="25"/>
  <c r="B564" i="25"/>
  <c r="B565" i="25"/>
  <c r="B566" i="25"/>
  <c r="B567" i="25"/>
  <c r="B568" i="25"/>
  <c r="B569" i="25"/>
  <c r="B570" i="25"/>
  <c r="B571" i="25"/>
  <c r="B572" i="25"/>
  <c r="B573" i="25"/>
  <c r="B574" i="25"/>
  <c r="B575" i="25"/>
  <c r="B576" i="25"/>
  <c r="B577" i="25"/>
  <c r="B578" i="25"/>
  <c r="B579" i="25"/>
  <c r="B580" i="25"/>
  <c r="B581" i="25"/>
  <c r="B582" i="25"/>
  <c r="B583" i="25"/>
  <c r="B584" i="25"/>
  <c r="B585" i="25"/>
  <c r="B586" i="25"/>
  <c r="B587" i="25"/>
  <c r="B588" i="25"/>
  <c r="B589" i="25"/>
  <c r="B590" i="25"/>
  <c r="B591" i="25"/>
  <c r="B592" i="25"/>
  <c r="B593" i="25"/>
  <c r="B594" i="25"/>
  <c r="B595" i="25"/>
  <c r="B596" i="25"/>
  <c r="B597" i="25"/>
  <c r="B598" i="25"/>
  <c r="B599" i="25"/>
  <c r="B600" i="25"/>
  <c r="B601" i="25"/>
  <c r="B602" i="25"/>
  <c r="B603" i="25"/>
  <c r="B604" i="25"/>
  <c r="B605" i="25"/>
  <c r="B606" i="25"/>
  <c r="B607" i="25"/>
  <c r="B608" i="25"/>
  <c r="B609" i="25"/>
  <c r="B610" i="25"/>
  <c r="B611" i="25"/>
  <c r="B612" i="25"/>
  <c r="B613" i="25"/>
  <c r="B614" i="25"/>
  <c r="B615" i="25"/>
  <c r="B616" i="25"/>
  <c r="B617" i="25"/>
  <c r="B618" i="25"/>
  <c r="B619" i="25"/>
  <c r="B620" i="25"/>
  <c r="B621" i="25"/>
  <c r="B622" i="25"/>
  <c r="B623" i="25"/>
  <c r="B624" i="25"/>
  <c r="B625" i="25"/>
  <c r="B626" i="25"/>
  <c r="B627" i="25"/>
  <c r="B628" i="25"/>
  <c r="B629" i="25"/>
  <c r="B630" i="25"/>
  <c r="B631" i="25"/>
  <c r="B632" i="25"/>
  <c r="B633" i="25"/>
  <c r="B634" i="25"/>
  <c r="B635" i="25"/>
  <c r="B636" i="25"/>
  <c r="B637" i="25"/>
  <c r="B638" i="25"/>
  <c r="B639" i="25"/>
  <c r="B640" i="25"/>
  <c r="B641" i="25"/>
  <c r="B642" i="25"/>
  <c r="B643" i="25"/>
  <c r="B644" i="25"/>
  <c r="B645" i="25"/>
  <c r="B646" i="25"/>
  <c r="B647" i="25"/>
  <c r="B648" i="25"/>
  <c r="B649" i="25"/>
  <c r="B650" i="25"/>
  <c r="B651" i="25"/>
  <c r="B652" i="25"/>
  <c r="B653" i="25"/>
  <c r="B654" i="25"/>
  <c r="B655" i="25"/>
  <c r="B656" i="25"/>
  <c r="B657" i="25"/>
  <c r="B658" i="25"/>
  <c r="B659" i="25"/>
  <c r="B660" i="25"/>
  <c r="B661" i="25"/>
  <c r="B662" i="25"/>
  <c r="B663" i="25"/>
  <c r="B664" i="25"/>
  <c r="B665" i="25"/>
  <c r="B666" i="25"/>
  <c r="B667" i="25"/>
  <c r="B668" i="25"/>
  <c r="B669" i="25"/>
  <c r="B670" i="25"/>
  <c r="B671" i="25"/>
  <c r="B672" i="25"/>
  <c r="B673" i="25"/>
  <c r="B674" i="25"/>
  <c r="B675" i="25"/>
  <c r="B676" i="25"/>
  <c r="B677" i="25"/>
  <c r="B678" i="25"/>
  <c r="B679" i="25"/>
  <c r="B680" i="25"/>
  <c r="B681" i="25"/>
  <c r="B682" i="25"/>
  <c r="B683" i="25"/>
  <c r="B684" i="25"/>
  <c r="B685" i="25"/>
  <c r="B686" i="25"/>
  <c r="B687" i="25"/>
  <c r="B688" i="25"/>
  <c r="B689" i="25"/>
  <c r="B690" i="25"/>
  <c r="B691" i="25"/>
  <c r="B692" i="25"/>
  <c r="B693" i="25"/>
  <c r="B694" i="25"/>
  <c r="B695" i="25"/>
  <c r="B696" i="25"/>
  <c r="B697" i="25"/>
  <c r="B698" i="25"/>
  <c r="B699" i="25"/>
  <c r="B700" i="25"/>
  <c r="B701" i="25"/>
  <c r="B702" i="25"/>
  <c r="B703" i="25"/>
  <c r="B704" i="25"/>
  <c r="B705" i="25"/>
  <c r="B706" i="25"/>
  <c r="B707" i="25"/>
  <c r="B708" i="25"/>
  <c r="B709" i="25"/>
  <c r="B710" i="25"/>
  <c r="B711" i="25"/>
  <c r="B712" i="25"/>
  <c r="B713" i="25"/>
  <c r="B714" i="25"/>
  <c r="B715" i="25"/>
  <c r="B716" i="25"/>
  <c r="B717" i="25"/>
  <c r="B718" i="25"/>
  <c r="B719" i="25"/>
  <c r="B720" i="25"/>
  <c r="B721" i="25"/>
  <c r="B722" i="25"/>
  <c r="B723" i="25"/>
  <c r="B724" i="25"/>
  <c r="B725" i="25"/>
  <c r="B726" i="25"/>
  <c r="B727" i="25"/>
  <c r="B728" i="25"/>
  <c r="B729" i="25"/>
  <c r="B730" i="25"/>
  <c r="B731" i="25"/>
  <c r="B732" i="25"/>
  <c r="B733" i="25"/>
  <c r="B734" i="25"/>
  <c r="B735" i="25"/>
  <c r="B736" i="25"/>
  <c r="B737" i="25"/>
  <c r="B738" i="25"/>
  <c r="B739" i="25"/>
  <c r="B740" i="25"/>
  <c r="B741" i="25"/>
  <c r="B742" i="25"/>
  <c r="B743" i="25"/>
  <c r="B744" i="25"/>
  <c r="B745" i="25"/>
  <c r="B746" i="25"/>
  <c r="B747" i="25"/>
  <c r="B748" i="25"/>
  <c r="B749" i="25"/>
  <c r="B750" i="25"/>
  <c r="B751" i="25"/>
  <c r="B752" i="25"/>
  <c r="B753" i="25"/>
  <c r="B754" i="25"/>
  <c r="B755" i="25"/>
  <c r="B756" i="25"/>
  <c r="B757" i="25"/>
  <c r="B758" i="25"/>
  <c r="B759" i="25"/>
  <c r="B760" i="25"/>
  <c r="B761" i="25"/>
  <c r="B762" i="25"/>
  <c r="B763" i="25"/>
  <c r="B764" i="25"/>
  <c r="B765" i="25"/>
  <c r="B766" i="25"/>
  <c r="B767" i="25"/>
  <c r="B768" i="25"/>
  <c r="B769" i="25"/>
  <c r="B770" i="25"/>
  <c r="B771" i="25"/>
  <c r="B772" i="25"/>
  <c r="B773" i="25"/>
  <c r="B774" i="25"/>
  <c r="B775" i="25"/>
  <c r="B776" i="25"/>
  <c r="B777" i="25"/>
  <c r="B778" i="25"/>
  <c r="B779" i="25"/>
  <c r="B780" i="25"/>
  <c r="B781" i="25"/>
  <c r="B782" i="25"/>
  <c r="B783" i="25"/>
  <c r="B784" i="25"/>
  <c r="B785" i="25"/>
  <c r="B786" i="25"/>
  <c r="B787" i="25"/>
  <c r="B788" i="25"/>
  <c r="B789" i="25"/>
  <c r="B790" i="25"/>
  <c r="B791" i="25"/>
  <c r="B792" i="25"/>
  <c r="B793" i="25"/>
  <c r="B794" i="25"/>
  <c r="B795" i="25"/>
  <c r="B796" i="25"/>
  <c r="B797" i="25"/>
  <c r="B798" i="25"/>
  <c r="B799" i="25"/>
  <c r="B800" i="25"/>
  <c r="B801" i="25"/>
  <c r="B802" i="25"/>
  <c r="B803" i="25"/>
  <c r="B804" i="25"/>
  <c r="B805" i="25"/>
  <c r="B806" i="25"/>
  <c r="B807" i="25"/>
  <c r="B808" i="25"/>
  <c r="B809" i="25"/>
  <c r="B810" i="25"/>
  <c r="B811" i="25"/>
  <c r="B812" i="25"/>
  <c r="B813" i="25"/>
  <c r="B814" i="25"/>
  <c r="B815" i="25"/>
  <c r="B816" i="25"/>
  <c r="B817" i="25"/>
  <c r="B818" i="25"/>
  <c r="B819" i="25"/>
  <c r="B820" i="25"/>
  <c r="B821" i="25"/>
  <c r="B822" i="25"/>
  <c r="B823" i="25"/>
  <c r="B824" i="25"/>
  <c r="B825" i="25"/>
  <c r="B826" i="25"/>
  <c r="B827" i="25"/>
  <c r="B828" i="25"/>
  <c r="B829" i="25"/>
  <c r="B830" i="25"/>
  <c r="B831" i="25"/>
  <c r="B832" i="25"/>
  <c r="B833" i="25"/>
  <c r="B834" i="25"/>
  <c r="B835" i="25"/>
  <c r="B836" i="25"/>
  <c r="B837" i="25"/>
  <c r="B838" i="25"/>
  <c r="B839" i="25"/>
  <c r="B840" i="25"/>
  <c r="B841" i="25"/>
  <c r="B842" i="25"/>
  <c r="B843" i="25"/>
  <c r="B844" i="25"/>
  <c r="B845" i="25"/>
  <c r="B846" i="25"/>
  <c r="B847" i="25"/>
  <c r="B848" i="25"/>
  <c r="B849" i="25"/>
  <c r="B850" i="25"/>
  <c r="B851" i="25"/>
  <c r="B852" i="25"/>
  <c r="B853" i="25"/>
  <c r="B854" i="25"/>
  <c r="B855" i="25"/>
  <c r="B856" i="25"/>
  <c r="B857" i="25"/>
  <c r="B858" i="25"/>
  <c r="B859" i="25"/>
  <c r="B860" i="25"/>
  <c r="B861" i="25"/>
  <c r="B862" i="25"/>
  <c r="B863" i="25"/>
  <c r="B864" i="25"/>
  <c r="B865" i="25"/>
  <c r="B866" i="25"/>
  <c r="B867" i="25"/>
  <c r="B868" i="25"/>
  <c r="B869" i="25"/>
  <c r="B870" i="25"/>
  <c r="B871" i="25"/>
  <c r="B872" i="25"/>
  <c r="B873" i="25"/>
  <c r="B874" i="25"/>
  <c r="B875" i="25"/>
  <c r="B876" i="25"/>
  <c r="B877" i="25"/>
  <c r="B878" i="25"/>
  <c r="B879" i="25"/>
  <c r="B880" i="25"/>
  <c r="B881" i="25"/>
  <c r="B882" i="25"/>
  <c r="B883" i="25"/>
  <c r="B884" i="25"/>
  <c r="B885" i="25"/>
  <c r="B886" i="25"/>
  <c r="B887" i="25"/>
  <c r="B888" i="25"/>
  <c r="B889" i="25"/>
  <c r="B890" i="25"/>
  <c r="B891" i="25"/>
  <c r="B892" i="25"/>
  <c r="B893" i="25"/>
  <c r="B894" i="25"/>
  <c r="B895" i="25"/>
  <c r="B896" i="25"/>
  <c r="B897" i="25"/>
  <c r="B898" i="25"/>
  <c r="B899" i="25"/>
  <c r="B900" i="25"/>
  <c r="B901" i="25"/>
  <c r="B902" i="25"/>
  <c r="B903" i="25"/>
  <c r="B904" i="25"/>
  <c r="B905" i="25"/>
  <c r="B906" i="25"/>
  <c r="B907" i="25"/>
  <c r="B908" i="25"/>
  <c r="B909" i="25"/>
  <c r="B910" i="25"/>
  <c r="B911" i="25"/>
  <c r="B912" i="25"/>
  <c r="B913" i="25"/>
  <c r="B914" i="25"/>
  <c r="B915" i="25"/>
  <c r="B916" i="25"/>
  <c r="B917" i="25"/>
  <c r="B918" i="25"/>
  <c r="B919" i="25"/>
  <c r="B920" i="25"/>
  <c r="B921" i="25"/>
  <c r="B922" i="25"/>
  <c r="B923" i="25"/>
  <c r="B924" i="25"/>
  <c r="B925" i="25"/>
  <c r="B926" i="25"/>
  <c r="B927" i="25"/>
  <c r="B928" i="25"/>
  <c r="B929" i="25"/>
  <c r="B930" i="25"/>
  <c r="B931" i="25"/>
  <c r="B932" i="25"/>
  <c r="B933" i="25"/>
  <c r="B934" i="25"/>
  <c r="B935" i="25"/>
  <c r="B936" i="25"/>
  <c r="B937" i="25"/>
  <c r="B938" i="25"/>
  <c r="B939" i="25"/>
  <c r="B940" i="25"/>
  <c r="B941" i="25"/>
  <c r="B942" i="25"/>
  <c r="B943" i="25"/>
  <c r="B944" i="25"/>
  <c r="B945" i="25"/>
  <c r="B946" i="25"/>
  <c r="B947" i="25"/>
  <c r="B948" i="25"/>
  <c r="B949" i="25"/>
  <c r="B950" i="25"/>
  <c r="B951" i="25"/>
  <c r="B952" i="25"/>
  <c r="B953" i="25"/>
  <c r="B954" i="25"/>
  <c r="B955" i="25"/>
  <c r="B956" i="25"/>
  <c r="B957" i="25"/>
  <c r="B958" i="25"/>
  <c r="B959" i="25"/>
  <c r="B960" i="25"/>
  <c r="B961" i="25"/>
  <c r="B962" i="25"/>
  <c r="B963" i="25"/>
  <c r="B964" i="25"/>
  <c r="B965" i="25"/>
  <c r="B966" i="25"/>
  <c r="B967" i="25"/>
  <c r="B968" i="25"/>
  <c r="B969" i="25"/>
  <c r="B970" i="25"/>
  <c r="B971" i="25"/>
  <c r="B972" i="25"/>
  <c r="B973" i="25"/>
  <c r="B974" i="25"/>
  <c r="B975" i="25"/>
  <c r="B976" i="25"/>
  <c r="B977" i="25"/>
  <c r="B978" i="25"/>
  <c r="B979" i="25"/>
  <c r="B980" i="25"/>
  <c r="B981" i="25"/>
  <c r="B982" i="25"/>
  <c r="B983" i="25"/>
  <c r="B984" i="25"/>
  <c r="B985" i="25"/>
  <c r="B986" i="25"/>
  <c r="B987" i="25"/>
  <c r="B988" i="25"/>
  <c r="B989" i="25"/>
  <c r="B990" i="25"/>
  <c r="B991" i="25"/>
  <c r="B992" i="25"/>
  <c r="B993" i="25"/>
  <c r="B994" i="25"/>
  <c r="B995" i="25"/>
  <c r="B996" i="25"/>
  <c r="B997" i="25"/>
  <c r="B998" i="25"/>
  <c r="C8" i="25" l="1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C105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C121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C139" i="25"/>
  <c r="C140" i="25"/>
  <c r="C141" i="25"/>
  <c r="C142" i="25"/>
  <c r="C143" i="25"/>
  <c r="C144" i="25"/>
  <c r="C145" i="25"/>
  <c r="C146" i="25"/>
  <c r="C147" i="25"/>
  <c r="C148" i="25"/>
  <c r="C149" i="25"/>
  <c r="C150" i="25"/>
  <c r="C151" i="25"/>
  <c r="C152" i="25"/>
  <c r="C153" i="25"/>
  <c r="C154" i="25"/>
  <c r="C155" i="25"/>
  <c r="C156" i="25"/>
  <c r="C157" i="25"/>
  <c r="C158" i="25"/>
  <c r="C159" i="25"/>
  <c r="C160" i="25"/>
  <c r="C161" i="25"/>
  <c r="C162" i="25"/>
  <c r="C163" i="25"/>
  <c r="C164" i="25"/>
  <c r="C165" i="25"/>
  <c r="C166" i="25"/>
  <c r="C167" i="25"/>
  <c r="C168" i="25"/>
  <c r="C169" i="25"/>
  <c r="C170" i="25"/>
  <c r="C171" i="25"/>
  <c r="C172" i="25"/>
  <c r="C173" i="25"/>
  <c r="C174" i="25"/>
  <c r="C175" i="25"/>
  <c r="C176" i="25"/>
  <c r="C177" i="25"/>
  <c r="C178" i="25"/>
  <c r="C179" i="25"/>
  <c r="C180" i="25"/>
  <c r="C181" i="25"/>
  <c r="C182" i="25"/>
  <c r="C183" i="25"/>
  <c r="C184" i="25"/>
  <c r="C185" i="25"/>
  <c r="C186" i="25"/>
  <c r="C187" i="25"/>
  <c r="C188" i="25"/>
  <c r="C189" i="25"/>
  <c r="C190" i="25"/>
  <c r="C191" i="25"/>
  <c r="C192" i="25"/>
  <c r="C193" i="25"/>
  <c r="C194" i="25"/>
  <c r="C195" i="25"/>
  <c r="C196" i="25"/>
  <c r="C197" i="25"/>
  <c r="C198" i="25"/>
  <c r="C199" i="25"/>
  <c r="C200" i="25"/>
  <c r="C201" i="25"/>
  <c r="C202" i="25"/>
  <c r="C203" i="25"/>
  <c r="C204" i="25"/>
  <c r="C205" i="25"/>
  <c r="C206" i="25"/>
  <c r="C207" i="25"/>
  <c r="C208" i="25"/>
  <c r="C209" i="25"/>
  <c r="C210" i="25"/>
  <c r="C211" i="25"/>
  <c r="C212" i="25"/>
  <c r="C213" i="25"/>
  <c r="C214" i="25"/>
  <c r="C215" i="25"/>
  <c r="C216" i="25"/>
  <c r="C217" i="25"/>
  <c r="C218" i="25"/>
  <c r="C219" i="25"/>
  <c r="C220" i="25"/>
  <c r="C221" i="25"/>
  <c r="C222" i="25"/>
  <c r="C223" i="25"/>
  <c r="C224" i="25"/>
  <c r="C225" i="25"/>
  <c r="C226" i="25"/>
  <c r="C227" i="25"/>
  <c r="C228" i="25"/>
  <c r="C229" i="25"/>
  <c r="C230" i="25"/>
  <c r="C231" i="25"/>
  <c r="C232" i="25"/>
  <c r="C233" i="25"/>
  <c r="C234" i="25"/>
  <c r="C235" i="25"/>
  <c r="C236" i="25"/>
  <c r="C237" i="25"/>
  <c r="C238" i="25"/>
  <c r="C239" i="25"/>
  <c r="C240" i="25"/>
  <c r="C241" i="25"/>
  <c r="C242" i="25"/>
  <c r="C243" i="25"/>
  <c r="C244" i="25"/>
  <c r="C245" i="25"/>
  <c r="C246" i="25"/>
  <c r="C247" i="25"/>
  <c r="C248" i="25"/>
  <c r="C249" i="25"/>
  <c r="C250" i="25"/>
  <c r="C251" i="25"/>
  <c r="C252" i="25"/>
  <c r="C253" i="25"/>
  <c r="C254" i="25"/>
  <c r="C255" i="25"/>
  <c r="C256" i="25"/>
  <c r="C257" i="25"/>
  <c r="C258" i="25"/>
  <c r="C259" i="25"/>
  <c r="C260" i="25"/>
  <c r="C261" i="25"/>
  <c r="C262" i="25"/>
  <c r="C263" i="25"/>
  <c r="C264" i="25"/>
  <c r="C265" i="25"/>
  <c r="C266" i="25"/>
  <c r="C267" i="25"/>
  <c r="C268" i="25"/>
  <c r="C269" i="25"/>
  <c r="C270" i="25"/>
  <c r="C271" i="25"/>
  <c r="C272" i="25"/>
  <c r="C273" i="25"/>
  <c r="C274" i="25"/>
  <c r="C275" i="25"/>
  <c r="C276" i="25"/>
  <c r="C277" i="25"/>
  <c r="C278" i="25"/>
  <c r="C279" i="25"/>
  <c r="C280" i="25"/>
  <c r="C281" i="25"/>
  <c r="C282" i="25"/>
  <c r="C283" i="25"/>
  <c r="C284" i="25"/>
  <c r="C285" i="25"/>
  <c r="C286" i="25"/>
  <c r="C287" i="25"/>
  <c r="C288" i="25"/>
  <c r="C289" i="25"/>
  <c r="C290" i="25"/>
  <c r="C291" i="25"/>
  <c r="C292" i="25"/>
  <c r="C293" i="25"/>
  <c r="C294" i="25"/>
  <c r="C295" i="25"/>
  <c r="C296" i="25"/>
  <c r="C297" i="25"/>
  <c r="C298" i="25"/>
  <c r="C299" i="25"/>
  <c r="C300" i="25"/>
  <c r="C301" i="25"/>
  <c r="C302" i="25"/>
  <c r="C303" i="25"/>
  <c r="C304" i="25"/>
  <c r="C305" i="25"/>
  <c r="C306" i="25"/>
  <c r="C307" i="25"/>
  <c r="C308" i="25"/>
  <c r="C309" i="25"/>
  <c r="C310" i="25"/>
  <c r="C311" i="25"/>
  <c r="C312" i="25"/>
  <c r="C313" i="25"/>
  <c r="C314" i="25"/>
  <c r="C315" i="25"/>
  <c r="C316" i="25"/>
  <c r="C317" i="25"/>
  <c r="C318" i="25"/>
  <c r="C319" i="25"/>
  <c r="C320" i="25"/>
  <c r="C321" i="25"/>
  <c r="C322" i="25"/>
  <c r="C323" i="25"/>
  <c r="C324" i="25"/>
  <c r="C325" i="25"/>
  <c r="C326" i="25"/>
  <c r="C327" i="25"/>
  <c r="C328" i="25"/>
  <c r="C329" i="25"/>
  <c r="C330" i="25"/>
  <c r="C331" i="25"/>
  <c r="C332" i="25"/>
  <c r="C333" i="25"/>
  <c r="C334" i="25"/>
  <c r="C335" i="25"/>
  <c r="C336" i="25"/>
  <c r="C337" i="25"/>
  <c r="C338" i="25"/>
  <c r="C339" i="25"/>
  <c r="C340" i="25"/>
  <c r="C341" i="25"/>
  <c r="C342" i="25"/>
  <c r="C343" i="25"/>
  <c r="C344" i="25"/>
  <c r="C345" i="25"/>
  <c r="C346" i="25"/>
  <c r="C347" i="25"/>
  <c r="C348" i="25"/>
  <c r="C349" i="25"/>
  <c r="C350" i="25"/>
  <c r="C351" i="25"/>
  <c r="C352" i="25"/>
  <c r="C353" i="25"/>
  <c r="C354" i="25"/>
  <c r="C355" i="25"/>
  <c r="C356" i="25"/>
  <c r="C357" i="25"/>
  <c r="C358" i="25"/>
  <c r="C359" i="25"/>
  <c r="C360" i="25"/>
  <c r="C361" i="25"/>
  <c r="C362" i="25"/>
  <c r="C363" i="25"/>
  <c r="C364" i="25"/>
  <c r="C365" i="25"/>
  <c r="C366" i="25"/>
  <c r="C367" i="25"/>
  <c r="C368" i="25"/>
  <c r="C369" i="25"/>
  <c r="C370" i="25"/>
  <c r="C371" i="25"/>
  <c r="C372" i="25"/>
  <c r="C373" i="25"/>
  <c r="C374" i="25"/>
  <c r="C375" i="25"/>
  <c r="C376" i="25"/>
  <c r="C377" i="25"/>
  <c r="C378" i="25"/>
  <c r="C379" i="25"/>
  <c r="C380" i="25"/>
  <c r="C381" i="25"/>
  <c r="C382" i="25"/>
  <c r="C383" i="25"/>
  <c r="C384" i="25"/>
  <c r="C385" i="25"/>
  <c r="C386" i="25"/>
  <c r="C387" i="25"/>
  <c r="C388" i="25"/>
  <c r="C389" i="25"/>
  <c r="C390" i="25"/>
  <c r="C391" i="25"/>
  <c r="C392" i="25"/>
  <c r="C393" i="25"/>
  <c r="C394" i="25"/>
  <c r="C395" i="25"/>
  <c r="C396" i="25"/>
  <c r="C397" i="25"/>
  <c r="C398" i="25"/>
  <c r="C399" i="25"/>
  <c r="C400" i="25"/>
  <c r="C401" i="25"/>
  <c r="C402" i="25"/>
  <c r="C403" i="25"/>
  <c r="C404" i="25"/>
  <c r="C405" i="25"/>
  <c r="C406" i="25"/>
  <c r="C407" i="25"/>
  <c r="C408" i="25"/>
  <c r="C409" i="25"/>
  <c r="C410" i="25"/>
  <c r="C411" i="25"/>
  <c r="C412" i="25"/>
  <c r="C413" i="25"/>
  <c r="C414" i="25"/>
  <c r="C415" i="25"/>
  <c r="C416" i="25"/>
  <c r="C417" i="25"/>
  <c r="C418" i="25"/>
  <c r="C419" i="25"/>
  <c r="C420" i="25"/>
  <c r="C421" i="25"/>
  <c r="C422" i="25"/>
  <c r="C423" i="25"/>
  <c r="C424" i="25"/>
  <c r="C425" i="25"/>
  <c r="C426" i="25"/>
  <c r="C427" i="25"/>
  <c r="C428" i="25"/>
  <c r="C429" i="25"/>
  <c r="C430" i="25"/>
  <c r="C431" i="25"/>
  <c r="C432" i="25"/>
  <c r="C433" i="25"/>
  <c r="C434" i="25"/>
  <c r="C435" i="25"/>
  <c r="C436" i="25"/>
  <c r="C437" i="25"/>
  <c r="C438" i="25"/>
  <c r="C439" i="25"/>
  <c r="C440" i="25"/>
  <c r="C441" i="25"/>
  <c r="C442" i="25"/>
  <c r="C443" i="25"/>
  <c r="C444" i="25"/>
  <c r="C445" i="25"/>
  <c r="C446" i="25"/>
  <c r="C447" i="25"/>
  <c r="C448" i="25"/>
  <c r="C449" i="25"/>
  <c r="C450" i="25"/>
  <c r="C451" i="25"/>
  <c r="C452" i="25"/>
  <c r="C453" i="25"/>
  <c r="C454" i="25"/>
  <c r="C455" i="25"/>
  <c r="C456" i="25"/>
  <c r="C457" i="25"/>
  <c r="C458" i="25"/>
  <c r="C459" i="25"/>
  <c r="C460" i="25"/>
  <c r="C461" i="25"/>
  <c r="C462" i="25"/>
  <c r="C463" i="25"/>
  <c r="C464" i="25"/>
  <c r="C465" i="25"/>
  <c r="C466" i="25"/>
  <c r="C467" i="25"/>
  <c r="C468" i="25"/>
  <c r="C469" i="25"/>
  <c r="C470" i="25"/>
  <c r="C471" i="25"/>
  <c r="C472" i="25"/>
  <c r="C473" i="25"/>
  <c r="C474" i="25"/>
  <c r="C475" i="25"/>
  <c r="C476" i="25"/>
  <c r="C477" i="25"/>
  <c r="C478" i="25"/>
  <c r="C479" i="25"/>
  <c r="C480" i="25"/>
  <c r="C481" i="25"/>
  <c r="C482" i="25"/>
  <c r="C483" i="25"/>
  <c r="C484" i="25"/>
  <c r="C485" i="25"/>
  <c r="C486" i="25"/>
  <c r="C487" i="25"/>
  <c r="C488" i="25"/>
  <c r="C489" i="25"/>
  <c r="C490" i="25"/>
  <c r="C491" i="25"/>
  <c r="C492" i="25"/>
  <c r="C493" i="25"/>
  <c r="C494" i="25"/>
  <c r="C495" i="25"/>
  <c r="C496" i="25"/>
  <c r="C497" i="25"/>
  <c r="C498" i="25"/>
  <c r="C499" i="25"/>
  <c r="C500" i="25"/>
  <c r="C501" i="25"/>
  <c r="C502" i="25"/>
  <c r="C503" i="25"/>
  <c r="C504" i="25"/>
  <c r="C505" i="25"/>
  <c r="C506" i="25"/>
  <c r="C507" i="25"/>
  <c r="C508" i="25"/>
  <c r="C509" i="25"/>
  <c r="C510" i="25"/>
  <c r="C511" i="25"/>
  <c r="C512" i="25"/>
  <c r="C513" i="25"/>
  <c r="C514" i="25"/>
  <c r="C515" i="25"/>
  <c r="C516" i="25"/>
  <c r="C517" i="25"/>
  <c r="C518" i="25"/>
  <c r="C519" i="25"/>
  <c r="C520" i="25"/>
  <c r="C521" i="25"/>
  <c r="C522" i="25"/>
  <c r="C523" i="25"/>
  <c r="C524" i="25"/>
  <c r="C525" i="25"/>
  <c r="C526" i="25"/>
  <c r="C527" i="25"/>
  <c r="C528" i="25"/>
  <c r="C529" i="25"/>
  <c r="C530" i="25"/>
  <c r="C531" i="25"/>
  <c r="C532" i="25"/>
  <c r="C533" i="25"/>
  <c r="C534" i="25"/>
  <c r="C535" i="25"/>
  <c r="C536" i="25"/>
  <c r="C537" i="25"/>
  <c r="C538" i="25"/>
  <c r="C539" i="25"/>
  <c r="C540" i="25"/>
  <c r="C541" i="25"/>
  <c r="C542" i="25"/>
  <c r="C543" i="25"/>
  <c r="C544" i="25"/>
  <c r="C545" i="25"/>
  <c r="C546" i="25"/>
  <c r="C547" i="25"/>
  <c r="C548" i="25"/>
  <c r="C549" i="25"/>
  <c r="C550" i="25"/>
  <c r="C551" i="25"/>
  <c r="C552" i="25"/>
  <c r="C553" i="25"/>
  <c r="C554" i="25"/>
  <c r="C555" i="25"/>
  <c r="C556" i="25"/>
  <c r="C557" i="25"/>
  <c r="C558" i="25"/>
  <c r="C559" i="25"/>
  <c r="C560" i="25"/>
  <c r="C561" i="25"/>
  <c r="C562" i="25"/>
  <c r="C563" i="25"/>
  <c r="C564" i="25"/>
  <c r="C565" i="25"/>
  <c r="C566" i="25"/>
  <c r="C567" i="25"/>
  <c r="C568" i="25"/>
  <c r="C569" i="25"/>
  <c r="C570" i="25"/>
  <c r="C571" i="25"/>
  <c r="C572" i="25"/>
  <c r="C573" i="25"/>
  <c r="C574" i="25"/>
  <c r="C575" i="25"/>
  <c r="C576" i="25"/>
  <c r="C577" i="25"/>
  <c r="C578" i="25"/>
  <c r="C579" i="25"/>
  <c r="C580" i="25"/>
  <c r="C581" i="25"/>
  <c r="C582" i="25"/>
  <c r="C583" i="25"/>
  <c r="C584" i="25"/>
  <c r="C585" i="25"/>
  <c r="C586" i="25"/>
  <c r="C587" i="25"/>
  <c r="C588" i="25"/>
  <c r="C589" i="25"/>
  <c r="C590" i="25"/>
  <c r="C591" i="25"/>
  <c r="C592" i="25"/>
  <c r="C593" i="25"/>
  <c r="C594" i="25"/>
  <c r="C595" i="25"/>
  <c r="C596" i="25"/>
  <c r="C597" i="25"/>
  <c r="C598" i="25"/>
  <c r="C599" i="25"/>
  <c r="C600" i="25"/>
  <c r="C601" i="25"/>
  <c r="C602" i="25"/>
  <c r="C603" i="25"/>
  <c r="C604" i="25"/>
  <c r="C605" i="25"/>
  <c r="C606" i="25"/>
  <c r="C607" i="25"/>
  <c r="C608" i="25"/>
  <c r="C609" i="25"/>
  <c r="C610" i="25"/>
  <c r="C611" i="25"/>
  <c r="C612" i="25"/>
  <c r="C613" i="25"/>
  <c r="C614" i="25"/>
  <c r="C615" i="25"/>
  <c r="C616" i="25"/>
  <c r="C617" i="25"/>
  <c r="C618" i="25"/>
  <c r="C619" i="25"/>
  <c r="C620" i="25"/>
  <c r="C621" i="25"/>
  <c r="C622" i="25"/>
  <c r="C623" i="25"/>
  <c r="C624" i="25"/>
  <c r="C625" i="25"/>
  <c r="C626" i="25"/>
  <c r="C627" i="25"/>
  <c r="C628" i="25"/>
  <c r="C629" i="25"/>
  <c r="C630" i="25"/>
  <c r="C631" i="25"/>
  <c r="C632" i="25"/>
  <c r="C633" i="25"/>
  <c r="C634" i="25"/>
  <c r="C635" i="25"/>
  <c r="C636" i="25"/>
  <c r="C637" i="25"/>
  <c r="C638" i="25"/>
  <c r="C639" i="25"/>
  <c r="C640" i="25"/>
  <c r="C641" i="25"/>
  <c r="C642" i="25"/>
  <c r="C643" i="25"/>
  <c r="C644" i="25"/>
  <c r="C645" i="25"/>
  <c r="C646" i="25"/>
  <c r="C647" i="25"/>
  <c r="C648" i="25"/>
  <c r="C649" i="25"/>
  <c r="C650" i="25"/>
  <c r="C651" i="25"/>
  <c r="C652" i="25"/>
  <c r="C653" i="25"/>
  <c r="C654" i="25"/>
  <c r="C655" i="25"/>
  <c r="C656" i="25"/>
  <c r="C657" i="25"/>
  <c r="C658" i="25"/>
  <c r="C659" i="25"/>
  <c r="C660" i="25"/>
  <c r="C661" i="25"/>
  <c r="C662" i="25"/>
  <c r="C663" i="25"/>
  <c r="C664" i="25"/>
  <c r="C665" i="25"/>
  <c r="C666" i="25"/>
  <c r="C667" i="25"/>
  <c r="C668" i="25"/>
  <c r="C669" i="25"/>
  <c r="C670" i="25"/>
  <c r="C671" i="25"/>
  <c r="C672" i="25"/>
  <c r="C673" i="25"/>
  <c r="C674" i="25"/>
  <c r="C675" i="25"/>
  <c r="C676" i="25"/>
  <c r="C677" i="25"/>
  <c r="C678" i="25"/>
  <c r="C679" i="25"/>
  <c r="C680" i="25"/>
  <c r="C681" i="25"/>
  <c r="C682" i="25"/>
  <c r="C683" i="25"/>
  <c r="C684" i="25"/>
  <c r="C685" i="25"/>
  <c r="C686" i="25"/>
  <c r="C687" i="25"/>
  <c r="C688" i="25"/>
  <c r="C689" i="25"/>
  <c r="C690" i="25"/>
  <c r="C691" i="25"/>
  <c r="C692" i="25"/>
  <c r="C693" i="25"/>
  <c r="C694" i="25"/>
  <c r="C695" i="25"/>
  <c r="C696" i="25"/>
  <c r="C697" i="25"/>
  <c r="C698" i="25"/>
  <c r="C699" i="25"/>
  <c r="C700" i="25"/>
  <c r="C701" i="25"/>
  <c r="C702" i="25"/>
  <c r="C703" i="25"/>
  <c r="C704" i="25"/>
  <c r="C705" i="25"/>
  <c r="C706" i="25"/>
  <c r="C707" i="25"/>
  <c r="C708" i="25"/>
  <c r="C709" i="25"/>
  <c r="C710" i="25"/>
  <c r="C711" i="25"/>
  <c r="C712" i="25"/>
  <c r="C713" i="25"/>
  <c r="C714" i="25"/>
  <c r="C715" i="25"/>
  <c r="C716" i="25"/>
  <c r="C717" i="25"/>
  <c r="C718" i="25"/>
  <c r="C719" i="25"/>
  <c r="C720" i="25"/>
  <c r="C721" i="25"/>
  <c r="C722" i="25"/>
  <c r="C723" i="25"/>
  <c r="C724" i="25"/>
  <c r="C725" i="25"/>
  <c r="C726" i="25"/>
  <c r="C727" i="25"/>
  <c r="C728" i="25"/>
  <c r="C729" i="25"/>
  <c r="C730" i="25"/>
  <c r="C731" i="25"/>
  <c r="C732" i="25"/>
  <c r="C733" i="25"/>
  <c r="C734" i="25"/>
  <c r="C735" i="25"/>
  <c r="C736" i="25"/>
  <c r="C737" i="25"/>
  <c r="C738" i="25"/>
  <c r="C739" i="25"/>
  <c r="C740" i="25"/>
  <c r="C741" i="25"/>
  <c r="C742" i="25"/>
  <c r="C743" i="25"/>
  <c r="C744" i="25"/>
  <c r="C745" i="25"/>
  <c r="C746" i="25"/>
  <c r="C747" i="25"/>
  <c r="C748" i="25"/>
  <c r="C749" i="25"/>
  <c r="C750" i="25"/>
  <c r="C751" i="25"/>
  <c r="C752" i="25"/>
  <c r="C753" i="25"/>
  <c r="C754" i="25"/>
  <c r="C755" i="25"/>
  <c r="C756" i="25"/>
  <c r="C757" i="25"/>
  <c r="C758" i="25"/>
  <c r="C759" i="25"/>
  <c r="C760" i="25"/>
  <c r="C761" i="25"/>
  <c r="C762" i="25"/>
  <c r="C763" i="25"/>
  <c r="C764" i="25"/>
  <c r="C765" i="25"/>
  <c r="C766" i="25"/>
  <c r="C767" i="25"/>
  <c r="C768" i="25"/>
  <c r="C769" i="25"/>
  <c r="C770" i="25"/>
  <c r="C771" i="25"/>
  <c r="C772" i="25"/>
  <c r="C773" i="25"/>
  <c r="C774" i="25"/>
  <c r="C775" i="25"/>
  <c r="C776" i="25"/>
  <c r="C777" i="25"/>
  <c r="C778" i="25"/>
  <c r="C779" i="25"/>
  <c r="C780" i="25"/>
  <c r="C781" i="25"/>
  <c r="C782" i="25"/>
  <c r="C783" i="25"/>
  <c r="C784" i="25"/>
  <c r="C785" i="25"/>
  <c r="C786" i="25"/>
  <c r="C787" i="25"/>
  <c r="C788" i="25"/>
  <c r="C789" i="25"/>
  <c r="C790" i="25"/>
  <c r="C791" i="25"/>
  <c r="C792" i="25"/>
  <c r="C793" i="25"/>
  <c r="C794" i="25"/>
  <c r="C795" i="25"/>
  <c r="C796" i="25"/>
  <c r="C797" i="25"/>
  <c r="C798" i="25"/>
  <c r="C799" i="25"/>
  <c r="C800" i="25"/>
  <c r="C801" i="25"/>
  <c r="C802" i="25"/>
  <c r="C803" i="25"/>
  <c r="C804" i="25"/>
  <c r="C805" i="25"/>
  <c r="C806" i="25"/>
  <c r="C807" i="25"/>
  <c r="C808" i="25"/>
  <c r="C809" i="25"/>
  <c r="C810" i="25"/>
  <c r="C811" i="25"/>
  <c r="C812" i="25"/>
  <c r="C813" i="25"/>
  <c r="C814" i="25"/>
  <c r="C815" i="25"/>
  <c r="C816" i="25"/>
  <c r="C817" i="25"/>
  <c r="C818" i="25"/>
  <c r="C819" i="25"/>
  <c r="C820" i="25"/>
  <c r="C821" i="25"/>
  <c r="C822" i="25"/>
  <c r="C823" i="25"/>
  <c r="C824" i="25"/>
  <c r="C825" i="25"/>
  <c r="C826" i="25"/>
  <c r="C827" i="25"/>
  <c r="C828" i="25"/>
  <c r="C829" i="25"/>
  <c r="C830" i="25"/>
  <c r="C831" i="25"/>
  <c r="C832" i="25"/>
  <c r="C833" i="25"/>
  <c r="C834" i="25"/>
  <c r="C835" i="25"/>
  <c r="C836" i="25"/>
  <c r="C837" i="25"/>
  <c r="C838" i="25"/>
  <c r="C839" i="25"/>
  <c r="C840" i="25"/>
  <c r="C841" i="25"/>
  <c r="C842" i="25"/>
  <c r="C843" i="25"/>
  <c r="C844" i="25"/>
  <c r="C845" i="25"/>
  <c r="C846" i="25"/>
  <c r="C847" i="25"/>
  <c r="C848" i="25"/>
  <c r="C849" i="25"/>
  <c r="C850" i="25"/>
  <c r="C851" i="25"/>
  <c r="C852" i="25"/>
  <c r="C853" i="25"/>
  <c r="C854" i="25"/>
  <c r="C855" i="25"/>
  <c r="C856" i="25"/>
  <c r="C857" i="25"/>
  <c r="C858" i="25"/>
  <c r="C859" i="25"/>
  <c r="C860" i="25"/>
  <c r="C861" i="25"/>
  <c r="C862" i="25"/>
  <c r="C863" i="25"/>
  <c r="C864" i="25"/>
  <c r="C865" i="25"/>
  <c r="C866" i="25"/>
  <c r="C867" i="25"/>
  <c r="C868" i="25"/>
  <c r="C869" i="25"/>
  <c r="C870" i="25"/>
  <c r="C871" i="25"/>
  <c r="C872" i="25"/>
  <c r="C873" i="25"/>
  <c r="C874" i="25"/>
  <c r="C875" i="25"/>
  <c r="C876" i="25"/>
  <c r="C877" i="25"/>
  <c r="C878" i="25"/>
  <c r="C879" i="25"/>
  <c r="C880" i="25"/>
  <c r="C881" i="25"/>
  <c r="C882" i="25"/>
  <c r="C883" i="25"/>
  <c r="C884" i="25"/>
  <c r="C885" i="25"/>
  <c r="C886" i="25"/>
  <c r="C887" i="25"/>
  <c r="C888" i="25"/>
  <c r="C889" i="25"/>
  <c r="C890" i="25"/>
  <c r="C891" i="25"/>
  <c r="C892" i="25"/>
  <c r="C893" i="25"/>
  <c r="C894" i="25"/>
  <c r="C895" i="25"/>
  <c r="C896" i="25"/>
  <c r="C897" i="25"/>
  <c r="C898" i="25"/>
  <c r="C899" i="25"/>
  <c r="C900" i="25"/>
  <c r="C901" i="25"/>
  <c r="C902" i="25"/>
  <c r="C903" i="25"/>
  <c r="C904" i="25"/>
  <c r="C905" i="25"/>
  <c r="C906" i="25"/>
  <c r="C907" i="25"/>
  <c r="C908" i="25"/>
  <c r="C909" i="25"/>
  <c r="C910" i="25"/>
  <c r="C911" i="25"/>
  <c r="C912" i="25"/>
  <c r="C913" i="25"/>
  <c r="C914" i="25"/>
  <c r="C915" i="25"/>
  <c r="C916" i="25"/>
  <c r="C917" i="25"/>
  <c r="C918" i="25"/>
  <c r="C919" i="25"/>
  <c r="C920" i="25"/>
  <c r="C921" i="25"/>
  <c r="C922" i="25"/>
  <c r="C923" i="25"/>
  <c r="C924" i="25"/>
  <c r="C925" i="25"/>
  <c r="C926" i="25"/>
  <c r="C927" i="25"/>
  <c r="C928" i="25"/>
  <c r="C929" i="25"/>
  <c r="C930" i="25"/>
  <c r="C931" i="25"/>
  <c r="C932" i="25"/>
  <c r="C933" i="25"/>
  <c r="C934" i="25"/>
  <c r="C935" i="25"/>
  <c r="C936" i="25"/>
  <c r="C937" i="25"/>
  <c r="C938" i="25"/>
  <c r="C939" i="25"/>
  <c r="C940" i="25"/>
  <c r="C941" i="25"/>
  <c r="C942" i="25"/>
  <c r="C943" i="25"/>
  <c r="C944" i="25"/>
  <c r="C945" i="25"/>
  <c r="C946" i="25"/>
  <c r="C947" i="25"/>
  <c r="C948" i="25"/>
  <c r="C949" i="25"/>
  <c r="C950" i="25"/>
  <c r="C951" i="25"/>
  <c r="C952" i="25"/>
  <c r="C953" i="25"/>
  <c r="C954" i="25"/>
  <c r="C955" i="25"/>
  <c r="C956" i="25"/>
  <c r="C957" i="25"/>
  <c r="C958" i="25"/>
  <c r="C959" i="25"/>
  <c r="C960" i="25"/>
  <c r="C961" i="25"/>
  <c r="C962" i="25"/>
  <c r="C963" i="25"/>
  <c r="C964" i="25"/>
  <c r="C965" i="25"/>
  <c r="C966" i="25"/>
  <c r="C967" i="25"/>
  <c r="C968" i="25"/>
  <c r="C969" i="25"/>
  <c r="C970" i="25"/>
  <c r="C971" i="25"/>
  <c r="C972" i="25"/>
  <c r="C973" i="25"/>
  <c r="C974" i="25"/>
  <c r="C975" i="25"/>
  <c r="C976" i="25"/>
  <c r="C977" i="25"/>
  <c r="C978" i="25"/>
  <c r="C979" i="25"/>
  <c r="C980" i="25"/>
  <c r="C981" i="25"/>
  <c r="C982" i="25"/>
  <c r="C983" i="25"/>
  <c r="C984" i="25"/>
  <c r="C985" i="25"/>
  <c r="C986" i="25"/>
  <c r="C987" i="25"/>
  <c r="C988" i="25"/>
  <c r="C989" i="25"/>
  <c r="C990" i="25"/>
  <c r="C991" i="25"/>
  <c r="C992" i="25"/>
  <c r="C993" i="25"/>
  <c r="C994" i="25"/>
  <c r="C995" i="25"/>
  <c r="C996" i="25"/>
  <c r="C997" i="25"/>
  <c r="C998" i="25"/>
  <c r="C7" i="25"/>
  <c r="A584" i="17" l="1"/>
  <c r="AB582" i="17"/>
  <c r="A581" i="17"/>
</calcChain>
</file>

<file path=xl/comments1.xml><?xml version="1.0" encoding="utf-8"?>
<comments xmlns="http://schemas.openxmlformats.org/spreadsheetml/2006/main">
  <authors>
    <author>seydi</author>
    <author>Delfan1000</author>
  </authors>
  <commentList>
    <comment ref="A46" authorId="0" shapeId="0">
      <text>
        <r>
          <rPr>
            <b/>
            <sz val="9"/>
            <color indexed="81"/>
            <rFont val="Tahoma"/>
            <family val="2"/>
          </rPr>
          <t>seydi:</t>
        </r>
        <r>
          <rPr>
            <sz val="9"/>
            <color indexed="81"/>
            <rFont val="Tahoma"/>
            <family val="2"/>
          </rPr>
          <t xml:space="preserve">
161</t>
        </r>
      </text>
    </comment>
    <comment ref="D62" authorId="1" shapeId="0">
      <text>
        <r>
          <rPr>
            <b/>
            <sz val="11"/>
            <color indexed="81"/>
            <rFont val="Tahoma"/>
            <family val="2"/>
          </rPr>
          <t>Delfan1000:</t>
        </r>
        <r>
          <rPr>
            <sz val="11"/>
            <color indexed="81"/>
            <rFont val="Tahoma"/>
            <family val="2"/>
          </rPr>
          <t xml:space="preserve">
سپر عقب تک محور- با بازویی زاپاس بند و جک هایلیفت</t>
        </r>
      </text>
    </comment>
    <comment ref="D64" authorId="1" shapeId="0">
      <text>
        <r>
          <rPr>
            <b/>
            <sz val="11"/>
            <color indexed="81"/>
            <rFont val="Tahoma"/>
            <family val="2"/>
          </rPr>
          <t>Delfan1000:</t>
        </r>
        <r>
          <rPr>
            <sz val="11"/>
            <color indexed="81"/>
            <rFont val="Tahoma"/>
            <family val="2"/>
          </rPr>
          <t xml:space="preserve">
سپر عقب تک محور- با بازویی زاپاس بند و گالن و جک هایلیفت</t>
        </r>
      </text>
    </comment>
    <comment ref="D74" authorId="1" shapeId="0">
      <text>
        <r>
          <rPr>
            <b/>
            <sz val="11"/>
            <color indexed="81"/>
            <rFont val="Tahoma"/>
            <family val="2"/>
          </rPr>
          <t>Delfan1000:</t>
        </r>
        <r>
          <rPr>
            <sz val="11"/>
            <color indexed="81"/>
            <rFont val="Tahoma"/>
            <family val="2"/>
          </rPr>
          <t xml:space="preserve">
بازویی گالن بند و جک هایلیفت</t>
        </r>
      </text>
    </comment>
    <comment ref="D75" authorId="1" shapeId="0">
      <text>
        <r>
          <rPr>
            <b/>
            <sz val="11"/>
            <color indexed="81"/>
            <rFont val="Tahoma"/>
            <family val="2"/>
          </rPr>
          <t>Delfan1000:</t>
        </r>
        <r>
          <rPr>
            <sz val="11"/>
            <color indexed="81"/>
            <rFont val="Tahoma"/>
            <family val="2"/>
          </rPr>
          <t xml:space="preserve">
بازویی زاپاس بند و جک هایلیفت</t>
        </r>
      </text>
    </comment>
    <comment ref="D76" authorId="1" shapeId="0">
      <text>
        <r>
          <rPr>
            <b/>
            <sz val="11"/>
            <color indexed="81"/>
            <rFont val="Tahoma"/>
            <family val="2"/>
          </rPr>
          <t>Delfan1000:</t>
        </r>
        <r>
          <rPr>
            <sz val="11"/>
            <color indexed="81"/>
            <rFont val="Tahoma"/>
            <family val="2"/>
          </rPr>
          <t xml:space="preserve">
بازویی نردبان و جک هایلیفت</t>
        </r>
      </text>
    </comment>
    <comment ref="D118" authorId="1" shapeId="0">
      <text>
        <r>
          <rPr>
            <b/>
            <sz val="9"/>
            <color indexed="81"/>
            <rFont val="Tahoma"/>
            <family val="2"/>
          </rPr>
          <t>Delfan1000:</t>
        </r>
        <r>
          <rPr>
            <sz val="9"/>
            <color indexed="81"/>
            <rFont val="Tahoma"/>
            <family val="2"/>
          </rPr>
          <t xml:space="preserve">
(نورد دارد( طرح قدیم</t>
        </r>
      </text>
    </comment>
    <comment ref="D119" authorId="1" shapeId="0">
      <text>
        <r>
          <rPr>
            <b/>
            <sz val="9"/>
            <color indexed="81"/>
            <rFont val="Tahoma"/>
            <family val="2"/>
          </rPr>
          <t>Delfan1000:</t>
        </r>
        <r>
          <rPr>
            <sz val="9"/>
            <color indexed="81"/>
            <rFont val="Tahoma"/>
            <family val="2"/>
          </rPr>
          <t xml:space="preserve">
چهارگوش (بدون نورد)</t>
        </r>
      </text>
    </comment>
    <comment ref="D120" authorId="1" shapeId="0">
      <text>
        <r>
          <rPr>
            <b/>
            <sz val="9"/>
            <color indexed="81"/>
            <rFont val="Tahoma"/>
            <family val="2"/>
          </rPr>
          <t>Delfan1000:</t>
        </r>
        <r>
          <rPr>
            <sz val="9"/>
            <color indexed="81"/>
            <rFont val="Tahoma"/>
            <family val="2"/>
          </rPr>
          <t xml:space="preserve">
(قفل ندارد)</t>
        </r>
      </text>
    </comment>
    <comment ref="D131" authorId="1" shapeId="0">
      <text>
        <r>
          <rPr>
            <b/>
            <sz val="11"/>
            <color indexed="81"/>
            <rFont val="Tahoma"/>
            <family val="2"/>
          </rPr>
          <t>Delfan1000:</t>
        </r>
        <r>
          <rPr>
            <sz val="11"/>
            <color indexed="81"/>
            <rFont val="Tahoma"/>
            <family val="2"/>
          </rPr>
          <t xml:space="preserve">
پایه میله پرچم</t>
        </r>
      </text>
    </comment>
    <comment ref="D148" authorId="1" shapeId="0">
      <text>
        <r>
          <rPr>
            <b/>
            <sz val="11"/>
            <color indexed="81"/>
            <rFont val="Tahoma"/>
            <family val="2"/>
          </rPr>
          <t>Delfan1000:</t>
        </r>
        <r>
          <rPr>
            <sz val="11"/>
            <color indexed="81"/>
            <rFont val="Tahoma"/>
            <family val="2"/>
          </rPr>
          <t xml:space="preserve">
مخزن آب فضای بار</t>
        </r>
      </text>
    </comment>
  </commentList>
</comments>
</file>

<file path=xl/comments2.xml><?xml version="1.0" encoding="utf-8"?>
<comments xmlns="http://schemas.openxmlformats.org/spreadsheetml/2006/main">
  <authors>
    <author>USER</author>
    <author>Delfan1000</author>
    <author>seydi</author>
    <author>User</author>
  </authors>
  <commentList>
    <comment ref="U5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جعفر شورمیج</t>
        </r>
      </text>
    </comment>
    <comment ref="U30" authorId="1" shapeId="0">
      <text>
        <r>
          <rPr>
            <b/>
            <sz val="9"/>
            <color indexed="81"/>
            <rFont val="Tahoma"/>
            <family val="2"/>
          </rPr>
          <t>Delfan1000:</t>
        </r>
        <r>
          <rPr>
            <sz val="9"/>
            <color indexed="81"/>
            <rFont val="Tahoma"/>
            <family val="2"/>
          </rPr>
          <t xml:space="preserve">
خلعتبری</t>
        </r>
      </text>
    </comment>
    <comment ref="U37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عرشیا جوانبخت :17:00:00
جعفر شورمیج :12:00:00</t>
        </r>
      </text>
    </comment>
    <comment ref="Z59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وزن قبلی = 22/1</t>
        </r>
      </text>
    </comment>
    <comment ref="D73" authorId="2" shapeId="0">
      <text>
        <r>
          <rPr>
            <b/>
            <sz val="9"/>
            <color indexed="81"/>
            <rFont val="Tahoma"/>
            <family val="2"/>
          </rPr>
          <t>seydi:</t>
        </r>
        <r>
          <rPr>
            <sz val="9"/>
            <color indexed="81"/>
            <rFont val="Tahoma"/>
            <family val="2"/>
          </rPr>
          <t xml:space="preserve">
توقف تولید</t>
        </r>
      </text>
    </comment>
    <comment ref="Y74" authorId="1" shapeId="0">
      <text>
        <r>
          <rPr>
            <b/>
            <sz val="9"/>
            <color indexed="81"/>
            <rFont val="Tahoma"/>
            <family val="2"/>
          </rPr>
          <t>Delfan1000:</t>
        </r>
        <r>
          <rPr>
            <sz val="9"/>
            <color indexed="81"/>
            <rFont val="Tahoma"/>
            <family val="2"/>
          </rPr>
          <t xml:space="preserve">
8عدد پایه دارد </t>
        </r>
      </text>
    </comment>
    <comment ref="D94" authorId="2" shapeId="0">
      <text>
        <r>
          <rPr>
            <b/>
            <sz val="9"/>
            <color indexed="81"/>
            <rFont val="Tahoma"/>
            <family val="2"/>
          </rPr>
          <t>seydi:</t>
        </r>
        <r>
          <rPr>
            <sz val="9"/>
            <color indexed="81"/>
            <rFont val="Tahoma"/>
            <family val="2"/>
          </rPr>
          <t xml:space="preserve">
توقف تولید</t>
        </r>
      </text>
    </comment>
    <comment ref="U145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پیمان کیانی</t>
        </r>
      </text>
    </comment>
    <comment ref="U148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پیمان کیانی</t>
        </r>
      </text>
    </comment>
    <comment ref="U161" authorId="1" shapeId="0">
      <text>
        <r>
          <rPr>
            <b/>
            <sz val="9"/>
            <color indexed="81"/>
            <rFont val="Tahoma"/>
            <family val="2"/>
          </rPr>
          <t>Delfan1000:</t>
        </r>
        <r>
          <rPr>
            <sz val="9"/>
            <color indexed="81"/>
            <rFont val="Tahoma"/>
            <family val="2"/>
          </rPr>
          <t xml:space="preserve">
خلعتبری: 1:00:00</t>
        </r>
      </text>
    </comment>
    <comment ref="U167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عرشیا جوانبخت: 1:20:00</t>
        </r>
      </text>
    </comment>
    <comment ref="U168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عرشیا جوانبخت</t>
        </r>
      </text>
    </comment>
    <comment ref="U200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عرشیا جوانبخت</t>
        </r>
      </text>
    </comment>
    <comment ref="U20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عرشیا جوانبخت</t>
        </r>
      </text>
    </comment>
    <comment ref="Z203" authorId="1" shapeId="0">
      <text>
        <r>
          <rPr>
            <b/>
            <sz val="11"/>
            <color indexed="81"/>
            <rFont val="Tahoma"/>
            <family val="2"/>
          </rPr>
          <t>Delfan1000:</t>
        </r>
        <r>
          <rPr>
            <sz val="11"/>
            <color indexed="81"/>
            <rFont val="Tahoma"/>
            <family val="2"/>
          </rPr>
          <t xml:space="preserve">
سفارشی: یک طرف شفت بازویی</t>
        </r>
      </text>
    </comment>
    <comment ref="Z205" authorId="3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با نردبان لوله بلند و پایه جک هایلیفت</t>
        </r>
      </text>
    </comment>
    <comment ref="Z226" authorId="1" shapeId="0">
      <text>
        <r>
          <rPr>
            <b/>
            <sz val="9"/>
            <color indexed="81"/>
            <rFont val="Tahoma"/>
            <family val="2"/>
          </rPr>
          <t>Delfan1000:</t>
        </r>
        <r>
          <rPr>
            <sz val="9"/>
            <color indexed="81"/>
            <rFont val="Tahoma"/>
            <family val="2"/>
          </rPr>
          <t xml:space="preserve">
وزن همراه با یک لوله در فضای سانروف: 32/5 (سفارشی)
</t>
        </r>
      </text>
    </comment>
    <comment ref="Z254" authorId="1" shapeId="0">
      <text>
        <r>
          <rPr>
            <b/>
            <sz val="11"/>
            <color indexed="81"/>
            <rFont val="Tahoma"/>
            <family val="2"/>
          </rPr>
          <t>Delfan1000:</t>
        </r>
        <r>
          <rPr>
            <sz val="11"/>
            <color indexed="81"/>
            <rFont val="Tahoma"/>
            <family val="2"/>
          </rPr>
          <t xml:space="preserve">
همراه با گارد و پایه وینچ: 25/6</t>
        </r>
      </text>
    </comment>
    <comment ref="U286" authorId="3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6:30:00 توسط پیمان کیانی انجام شد</t>
        </r>
      </text>
    </comment>
    <comment ref="U312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پیمان کیانی : 11:00:00</t>
        </r>
      </text>
    </comment>
    <comment ref="Z316" authorId="1" shapeId="0">
      <text>
        <r>
          <rPr>
            <b/>
            <sz val="11"/>
            <color indexed="81"/>
            <rFont val="Tahoma"/>
            <family val="2"/>
          </rPr>
          <t>Delfan1000:</t>
        </r>
        <r>
          <rPr>
            <sz val="11"/>
            <color indexed="81"/>
            <rFont val="Tahoma"/>
            <family val="2"/>
          </rPr>
          <t xml:space="preserve">
وزن جدید: 51/4</t>
        </r>
      </text>
    </comment>
    <comment ref="Z328" authorId="1" shapeId="0">
      <text>
        <r>
          <rPr>
            <b/>
            <sz val="11"/>
            <color indexed="81"/>
            <rFont val="Tahoma"/>
            <family val="2"/>
          </rPr>
          <t>Delfan1000:</t>
        </r>
        <r>
          <rPr>
            <sz val="11"/>
            <color indexed="81"/>
            <rFont val="Tahoma"/>
            <family val="2"/>
          </rPr>
          <t xml:space="preserve">
وزن همراه با گارد لوله ای کامل: 60/700</t>
        </r>
      </text>
    </comment>
    <comment ref="U393" authorId="3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 8ساعت</t>
        </r>
      </text>
    </comment>
    <comment ref="Z393" authorId="3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لبه 9/5 سانتی  34/600</t>
        </r>
      </text>
    </comment>
    <comment ref="U402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رحمان کیایی</t>
        </r>
      </text>
    </comment>
    <comment ref="Z414" authorId="1" shapeId="0">
      <text>
        <r>
          <rPr>
            <b/>
            <sz val="11"/>
            <color indexed="81"/>
            <rFont val="Tahoma"/>
            <family val="2"/>
          </rPr>
          <t>Delfan1000:</t>
        </r>
        <r>
          <rPr>
            <sz val="11"/>
            <color indexed="81"/>
            <rFont val="Tahoma"/>
            <family val="2"/>
          </rPr>
          <t xml:space="preserve">
وزن2: 44/400</t>
        </r>
      </text>
    </comment>
    <comment ref="Z608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وزن قبلی = 10/7</t>
        </r>
      </text>
    </comment>
    <comment ref="U618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جعفر شورمیج</t>
        </r>
      </text>
    </comment>
    <comment ref="U65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مهدی احسانی</t>
        </r>
      </text>
    </comment>
    <comment ref="Z688" authorId="1" shapeId="0">
      <text>
        <r>
          <rPr>
            <b/>
            <sz val="9"/>
            <color indexed="81"/>
            <rFont val="Tahoma"/>
            <family val="2"/>
          </rPr>
          <t>Delfan1000:</t>
        </r>
        <r>
          <rPr>
            <sz val="9"/>
            <color indexed="81"/>
            <rFont val="Tahoma"/>
            <family val="2"/>
          </rPr>
          <t xml:space="preserve">
وزن قبلی = 40</t>
        </r>
      </text>
    </comment>
    <comment ref="U693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جعفر شورمیج:6:30:00</t>
        </r>
      </text>
    </comment>
    <comment ref="U694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عرشیا جوانبخت:12:00:00</t>
        </r>
      </text>
    </comment>
    <comment ref="Z695" authorId="1" shapeId="0">
      <text>
        <r>
          <rPr>
            <b/>
            <sz val="9"/>
            <color indexed="81"/>
            <rFont val="Tahoma"/>
            <family val="2"/>
          </rPr>
          <t>Delfan1000:</t>
        </r>
        <r>
          <rPr>
            <sz val="9"/>
            <color indexed="81"/>
            <rFont val="Tahoma"/>
            <family val="2"/>
          </rPr>
          <t xml:space="preserve">
وزن قبلی: 16/1</t>
        </r>
      </text>
    </comment>
    <comment ref="U698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عرشیا جوانبخت</t>
        </r>
      </text>
    </comment>
    <comment ref="U702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مهدی احسانی</t>
        </r>
      </text>
    </comment>
    <comment ref="U703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سید رحمان کیایی</t>
        </r>
      </text>
    </comment>
    <comment ref="U709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   9:30:00پیمان کیانی</t>
        </r>
      </text>
    </comment>
    <comment ref="U710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پیمان کیانی</t>
        </r>
      </text>
    </comment>
    <comment ref="U720" authorId="1" shapeId="0">
      <text>
        <r>
          <rPr>
            <b/>
            <sz val="11"/>
            <color indexed="81"/>
            <rFont val="Tahoma"/>
            <family val="2"/>
          </rPr>
          <t>Delfan1000:</t>
        </r>
        <r>
          <rPr>
            <sz val="11"/>
            <color indexed="81"/>
            <rFont val="Tahoma"/>
            <family val="2"/>
          </rPr>
          <t xml:space="preserve">
عرشیا جوانبخت: خم و ساخت</t>
        </r>
      </text>
    </comment>
    <comment ref="U721" authorId="1" shapeId="0">
      <text>
        <r>
          <rPr>
            <b/>
            <sz val="11"/>
            <color indexed="81"/>
            <rFont val="Tahoma"/>
            <family val="2"/>
          </rPr>
          <t>Delfan1000:</t>
        </r>
        <r>
          <rPr>
            <sz val="11"/>
            <color indexed="81"/>
            <rFont val="Tahoma"/>
            <family val="2"/>
          </rPr>
          <t xml:space="preserve">
عرشیا جوانبخت: خم و ساخت</t>
        </r>
      </text>
    </comment>
    <comment ref="U728" authorId="1" shapeId="0">
      <text>
        <r>
          <rPr>
            <b/>
            <sz val="11"/>
            <color indexed="81"/>
            <rFont val="Tahoma"/>
            <family val="2"/>
          </rPr>
          <t>Delfan1000:</t>
        </r>
        <r>
          <rPr>
            <sz val="11"/>
            <color indexed="81"/>
            <rFont val="Tahoma"/>
            <family val="2"/>
          </rPr>
          <t xml:space="preserve">
عرشیا جوانبخت</t>
        </r>
      </text>
    </comment>
  </commentList>
</comments>
</file>

<file path=xl/sharedStrings.xml><?xml version="1.0" encoding="utf-8"?>
<sst xmlns="http://schemas.openxmlformats.org/spreadsheetml/2006/main" count="2684" uniqueCount="1514">
  <si>
    <t>نام خودرو</t>
  </si>
  <si>
    <t>توضیحات</t>
  </si>
  <si>
    <t>نام مشتری</t>
  </si>
  <si>
    <t>رکاب</t>
  </si>
  <si>
    <t>عمومی</t>
  </si>
  <si>
    <t>گارد گلگیر</t>
  </si>
  <si>
    <t>برف روب</t>
  </si>
  <si>
    <t>خدمات</t>
  </si>
  <si>
    <t>F</t>
  </si>
  <si>
    <t>آمیکو آسنا</t>
  </si>
  <si>
    <t>پایه کشو تک</t>
  </si>
  <si>
    <t>ریل یخچال کوچک</t>
  </si>
  <si>
    <t>رول بار</t>
  </si>
  <si>
    <t>رکاب پاترول چهار درب</t>
  </si>
  <si>
    <t>دیف دراپ</t>
  </si>
  <si>
    <t>پاجرو</t>
  </si>
  <si>
    <t>گارد روی سپر جلو</t>
  </si>
  <si>
    <t>پله دور زاپاس</t>
  </si>
  <si>
    <t>باکس فلزی</t>
  </si>
  <si>
    <t>سپر عقب</t>
  </si>
  <si>
    <t>باربند سبدی پاترول چهار درب</t>
  </si>
  <si>
    <t>هولدر موتور</t>
  </si>
  <si>
    <t>گارد روی سپر</t>
  </si>
  <si>
    <t>سپر عقب ساده</t>
  </si>
  <si>
    <t>سوزوکی ویتارا</t>
  </si>
  <si>
    <t>رکاب شش سیلندری</t>
  </si>
  <si>
    <t>ریل یخچال بزرگ</t>
  </si>
  <si>
    <t>جیپ شهباز</t>
  </si>
  <si>
    <t>نیسان سرانزا</t>
  </si>
  <si>
    <t>رکاب پاترول دو درب</t>
  </si>
  <si>
    <t>کاپرا 2</t>
  </si>
  <si>
    <t>جیپ رنگید</t>
  </si>
  <si>
    <t>دیوایدر کشو ارتفاع بلند</t>
  </si>
  <si>
    <t>دیوایدر کشو ارتفاع کوتاه</t>
  </si>
  <si>
    <t>نصب در تنکابن</t>
  </si>
  <si>
    <t>تویوتا فورچونر</t>
  </si>
  <si>
    <t>پله لای درب</t>
  </si>
  <si>
    <t>رنو داستر</t>
  </si>
  <si>
    <t>ریل یخچال متوسط</t>
  </si>
  <si>
    <t>A</t>
  </si>
  <si>
    <t>پایه باطری بزرگ</t>
  </si>
  <si>
    <t>پایه باطری کوچک</t>
  </si>
  <si>
    <t>پین و اشپیل بزرگ</t>
  </si>
  <si>
    <t>سینی محافظ رادیاتور سپر فابریک</t>
  </si>
  <si>
    <t>سپر جلو</t>
  </si>
  <si>
    <t>پایه سایه بان</t>
  </si>
  <si>
    <t>مهلت تحویل</t>
  </si>
  <si>
    <t>پاترول</t>
  </si>
  <si>
    <t>پاژن</t>
  </si>
  <si>
    <t>نوع</t>
  </si>
  <si>
    <t>نیاز به برش لیزر</t>
  </si>
  <si>
    <t>در حال ساخت</t>
  </si>
  <si>
    <t>سینی و پایه وینچ</t>
  </si>
  <si>
    <t>تاریخ ثبت</t>
  </si>
  <si>
    <t>کد</t>
  </si>
  <si>
    <t>پیکاپ</t>
  </si>
  <si>
    <t>تحویل در تنکابن</t>
  </si>
  <si>
    <t>ارسال شده</t>
  </si>
  <si>
    <t>پرادو</t>
  </si>
  <si>
    <t>پایه پلاک</t>
  </si>
  <si>
    <t>ردیف</t>
  </si>
  <si>
    <t>زمان تولید</t>
  </si>
  <si>
    <t>تویوتا اف جی 60</t>
  </si>
  <si>
    <t>تویوتا هایلوکس ویگو 2015-2012</t>
  </si>
  <si>
    <t>نیسان پیکاپ 2 درب</t>
  </si>
  <si>
    <t>تویوتا لندکروزر 80</t>
  </si>
  <si>
    <t>سپر جلو ساده</t>
  </si>
  <si>
    <t>تویوتا هایلوکس ریوو</t>
  </si>
  <si>
    <t>تویوتا اف جی کروزر</t>
  </si>
  <si>
    <t>نیسان رونیز</t>
  </si>
  <si>
    <t>پاژن دو کابین</t>
  </si>
  <si>
    <t>تویوتا لندکروزر 70</t>
  </si>
  <si>
    <t>سینی کامل خودرو</t>
  </si>
  <si>
    <t>مخرن بنزین</t>
  </si>
  <si>
    <t>تویوتا لندکروزر 200</t>
  </si>
  <si>
    <t>تویوتا اف جی 40</t>
  </si>
  <si>
    <t>کاپرا دوکابین</t>
  </si>
  <si>
    <t>پاژن استیشن</t>
  </si>
  <si>
    <t>سانگ یانگ اکتیون</t>
  </si>
  <si>
    <t>سانگ یانگ کوراندو</t>
  </si>
  <si>
    <t>سینی باک</t>
  </si>
  <si>
    <t>پایه وینچ داخل سپر فابریک</t>
  </si>
  <si>
    <t>نیسان ایکس تریل</t>
  </si>
  <si>
    <t>سینی محافظ رادیاتور سپر آفرود</t>
  </si>
  <si>
    <t>پایه میله پرچم</t>
  </si>
  <si>
    <t>مال بند شکل وسط</t>
  </si>
  <si>
    <t>مال بند ساده(بدون گوی)</t>
  </si>
  <si>
    <t>مال بند دارای تنظیم ارتفاع(بدون گوی)</t>
  </si>
  <si>
    <t>سه پایه آتش</t>
  </si>
  <si>
    <t>پایه تبر باربندی (لوله ای-جفت)</t>
  </si>
  <si>
    <t>پایه پروژکتور لوله 2- دو خم</t>
  </si>
  <si>
    <t>پایه پروژکتور لوله 3- دو خم</t>
  </si>
  <si>
    <t>پایه پروژکتور لوله 2- سه خم</t>
  </si>
  <si>
    <t>پایه پروژکتور لوله 3- سه خم</t>
  </si>
  <si>
    <t>هیوندای توسان</t>
  </si>
  <si>
    <t>باربند سقفی فلت بدون سانروف</t>
  </si>
  <si>
    <t>باربند سقفی فلت سانروف دار</t>
  </si>
  <si>
    <t>باربند سقفی لبه کوتاه سانروف دار</t>
  </si>
  <si>
    <t>باربند سقفی لبه بلند سانروف دار</t>
  </si>
  <si>
    <t>باربند سقفی لبه بلند بدون سانروف</t>
  </si>
  <si>
    <t>تویوتا هایلوکس ویگو 2011-2007</t>
  </si>
  <si>
    <t>ریل یخچال سفارشی</t>
  </si>
  <si>
    <t>محافظ یخچال 41 لیتری</t>
  </si>
  <si>
    <t>محافظ یخچال 51 لیتری</t>
  </si>
  <si>
    <t>محافظ یخچال سفارشی</t>
  </si>
  <si>
    <t>گالن بند لوله ای دوبل</t>
  </si>
  <si>
    <t>گالن بند صفحه ای</t>
  </si>
  <si>
    <t>تخته رویه کشو</t>
  </si>
  <si>
    <t>نیسان پیکاپ 4 درب</t>
  </si>
  <si>
    <t>شرح محصول</t>
  </si>
  <si>
    <t>کد کاتالوگ</t>
  </si>
  <si>
    <t>نام رنگ</t>
  </si>
  <si>
    <t>کد رنگ</t>
  </si>
  <si>
    <t>ایسوزو دی مکس</t>
  </si>
  <si>
    <t>01</t>
  </si>
  <si>
    <t>ایسوزو دی مکس نیو</t>
  </si>
  <si>
    <t>02</t>
  </si>
  <si>
    <t>03</t>
  </si>
  <si>
    <t>04</t>
  </si>
  <si>
    <t>پاژن تک کابین</t>
  </si>
  <si>
    <t>05</t>
  </si>
  <si>
    <t>06</t>
  </si>
  <si>
    <t>07</t>
  </si>
  <si>
    <t>تویوتا اف جی 50</t>
  </si>
  <si>
    <t>08</t>
  </si>
  <si>
    <t>09</t>
  </si>
  <si>
    <t>تویوتا پرادو 120-2 درب</t>
  </si>
  <si>
    <t>بی رنگ</t>
  </si>
  <si>
    <t>تویوتا پرادو 120-4 درب</t>
  </si>
  <si>
    <t>تویوتا پرادو 150-2 درب</t>
  </si>
  <si>
    <t>تویوتا پرادو 150 -4 درب</t>
  </si>
  <si>
    <t>تویوتا فورچنر</t>
  </si>
  <si>
    <t>نصب در تهران</t>
  </si>
  <si>
    <t>تویوتا لندکروزر 105</t>
  </si>
  <si>
    <t>انبار تهران</t>
  </si>
  <si>
    <t>E</t>
  </si>
  <si>
    <t>تولید مازاد</t>
  </si>
  <si>
    <t>T</t>
  </si>
  <si>
    <t>B</t>
  </si>
  <si>
    <t>P</t>
  </si>
  <si>
    <t>ارسال به شهرستان - تیپاکس</t>
  </si>
  <si>
    <t>بازویی زاپاس بند</t>
  </si>
  <si>
    <t>D</t>
  </si>
  <si>
    <t>بازویی گالن بند</t>
  </si>
  <si>
    <t>U</t>
  </si>
  <si>
    <t>ارسال به شهرستان-روش ارسال نامعلوم</t>
  </si>
  <si>
    <t>جیپ واگنیر</t>
  </si>
  <si>
    <t>فوتون تونلند</t>
  </si>
  <si>
    <t>فوتون ساوانا</t>
  </si>
  <si>
    <t>کاپرا تک کابین</t>
  </si>
  <si>
    <t>001001</t>
  </si>
  <si>
    <t>نیسان پاترول 2 درب</t>
  </si>
  <si>
    <t>001002</t>
  </si>
  <si>
    <t>نیسان پاترول 4 درب</t>
  </si>
  <si>
    <t>001003</t>
  </si>
  <si>
    <t>001004</t>
  </si>
  <si>
    <t>نیسان پیکاپ ریچ</t>
  </si>
  <si>
    <t>002051</t>
  </si>
  <si>
    <t>محافظ یخچال ARB</t>
  </si>
  <si>
    <t>002062</t>
  </si>
  <si>
    <t>حفاظ نگهداری از حیوان</t>
  </si>
  <si>
    <t>هیوندای سانتافه</t>
  </si>
  <si>
    <t>باربند روی کنوپی</t>
  </si>
  <si>
    <t>وینگل</t>
  </si>
  <si>
    <t>004001</t>
  </si>
  <si>
    <t>004002</t>
  </si>
  <si>
    <t>بادشکن</t>
  </si>
  <si>
    <t>006001</t>
  </si>
  <si>
    <t>006010</t>
  </si>
  <si>
    <t>باکس داخل کابین</t>
  </si>
  <si>
    <t>سوپرلید- یک درب</t>
  </si>
  <si>
    <t>سوپرلید - دو درب</t>
  </si>
  <si>
    <t>سوپرلید- سه درب</t>
  </si>
  <si>
    <t>لنگر وینچ</t>
  </si>
  <si>
    <t>مخرن آب و بنزین</t>
  </si>
  <si>
    <t>تویوتا لندکروزر 100V6</t>
  </si>
  <si>
    <t>تویوتا لندکروزر 100V8</t>
  </si>
  <si>
    <t>وزن</t>
  </si>
  <si>
    <t>سپر عقب تک محور- با بازویی گالن بند و نردبان</t>
  </si>
  <si>
    <t>سپر عقب ساده کاپرا دو</t>
  </si>
  <si>
    <t>گارد گلگیر جلو</t>
  </si>
  <si>
    <t>نردبان سفارشی</t>
  </si>
  <si>
    <t>مجموعه قفل بازویی سپر عقب</t>
  </si>
  <si>
    <t>رنگ</t>
  </si>
  <si>
    <t>شمارنده</t>
  </si>
  <si>
    <t>پایه داس</t>
  </si>
  <si>
    <t>باربند سقفی فلت سانروف دار-فاقد سوراخ</t>
  </si>
  <si>
    <t>بارکد</t>
  </si>
  <si>
    <t>دیوایدر عقب کابین 50*80</t>
  </si>
  <si>
    <t>Column1</t>
  </si>
  <si>
    <t>پایه باطری متوسط</t>
  </si>
  <si>
    <t>میز کار</t>
  </si>
  <si>
    <t>تعداد بسته بندی</t>
  </si>
  <si>
    <t>نیاز به خم کاری</t>
  </si>
  <si>
    <t>جعفر شورمیج</t>
  </si>
  <si>
    <t>سید رحمان کیایی</t>
  </si>
  <si>
    <t>عرشیا جوان بخت</t>
  </si>
  <si>
    <t>عباس خاوی نوشری</t>
  </si>
  <si>
    <t>Column2</t>
  </si>
  <si>
    <t>تویوتا اف جی 62</t>
  </si>
  <si>
    <t xml:space="preserve">عمومی </t>
  </si>
  <si>
    <t>کد ماشین</t>
  </si>
  <si>
    <t>سپر جلوی پیکاپ با سر رونیز</t>
  </si>
  <si>
    <t>تویوتا اف جی 40 استیشن</t>
  </si>
  <si>
    <t>گارد گلگیر عقب</t>
  </si>
  <si>
    <t>تویوتا لندکروزر 70 استیشن</t>
  </si>
  <si>
    <t> 5005</t>
  </si>
  <si>
    <t>00</t>
  </si>
  <si>
    <t>سینی رادیاتور مخصوص پایه وینچ سپر فابریک</t>
  </si>
  <si>
    <t>سینی رادیاتور مخصوص پایه وینچ سپر آفرود</t>
  </si>
  <si>
    <t>کیت افزایش ارتفاع جلو بلند</t>
  </si>
  <si>
    <t>کیت افزایش ارتفاع عقب کوتاه</t>
  </si>
  <si>
    <t>تویوتا هایلوکس تک کابین</t>
  </si>
  <si>
    <t>کیت افزایش ارتفاع عقب بلند</t>
  </si>
  <si>
    <t xml:space="preserve"> میله واسطه موج گیر</t>
  </si>
  <si>
    <t>تویوتا هایلوکس تایگر</t>
  </si>
  <si>
    <t>کیت افزایش عرض چرخ</t>
  </si>
  <si>
    <t>سپر عقب ساده با چراغ خطر</t>
  </si>
  <si>
    <t>سپر عقب تک محور-بازویی زاپاس بند</t>
  </si>
  <si>
    <t>سپر عقب تک محور-بازویی گالن بند</t>
  </si>
  <si>
    <t>سپر عقب دو محور - بازویی زاپاس بند و باک(جابجا)</t>
  </si>
  <si>
    <t>سپر عقب دو محور - جفت گالن بند</t>
  </si>
  <si>
    <t>سپر عقب دو محور - جفت زاپاس بند</t>
  </si>
  <si>
    <t>کیا موهاوی</t>
  </si>
  <si>
    <t>کیا سورنتو</t>
  </si>
  <si>
    <t>جیپ KM</t>
  </si>
  <si>
    <t>ریل یخچال زیرو 96 لیتری</t>
  </si>
  <si>
    <t>ریل یخچال آیرونمن و ایندلبی 64 لیتری استیل</t>
  </si>
  <si>
    <t>001005</t>
  </si>
  <si>
    <t>001141</t>
  </si>
  <si>
    <t>001142</t>
  </si>
  <si>
    <t>میتسوبیشی پاجرو بهمنی</t>
  </si>
  <si>
    <t>باکس محافظ یخچال ال شکل (لوله و توری فلزی) کوچک</t>
  </si>
  <si>
    <t>001143</t>
  </si>
  <si>
    <t>میتسوبیشی پاجرو نسل 2- 2درب</t>
  </si>
  <si>
    <t>باکس محافط یخچال ال‌شکل (لوله و توری فلزی) بزرگ</t>
  </si>
  <si>
    <t>001144</t>
  </si>
  <si>
    <t>میتسوبیشی پاجرو نسل 2- 4درب</t>
  </si>
  <si>
    <t>001151</t>
  </si>
  <si>
    <t>میتسوبیشی پاجرو نسل 4- 2درب</t>
  </si>
  <si>
    <t>002001</t>
  </si>
  <si>
    <t>میتسوبیشی پاجرو نسل 4- 4درب</t>
  </si>
  <si>
    <t>002002</t>
  </si>
  <si>
    <t>میتسوبیشی پاجرو انتظامی</t>
  </si>
  <si>
    <t>002003</t>
  </si>
  <si>
    <t>002004</t>
  </si>
  <si>
    <t>002005</t>
  </si>
  <si>
    <t>002006</t>
  </si>
  <si>
    <t>کانکتور توبار سپر فابریک عقب تویوتا اف‌جی‌کروزر</t>
  </si>
  <si>
    <t>002007</t>
  </si>
  <si>
    <t>باربند فلت روی کنوپی</t>
  </si>
  <si>
    <t>002010</t>
  </si>
  <si>
    <t>002011</t>
  </si>
  <si>
    <t>002012</t>
  </si>
  <si>
    <t>002020</t>
  </si>
  <si>
    <t>002021</t>
  </si>
  <si>
    <t>002030</t>
  </si>
  <si>
    <t>موتورسیکلت 50cc</t>
  </si>
  <si>
    <t>002040</t>
  </si>
  <si>
    <t>002050</t>
  </si>
  <si>
    <t>002052</t>
  </si>
  <si>
    <t>002053</t>
  </si>
  <si>
    <t>ورق آلومینیوم باربند روی بار</t>
  </si>
  <si>
    <t>002060</t>
  </si>
  <si>
    <t xml:space="preserve">ورق آلومینیوم نیم باربند </t>
  </si>
  <si>
    <t>002070</t>
  </si>
  <si>
    <t>002071</t>
  </si>
  <si>
    <t>002072</t>
  </si>
  <si>
    <t>002073</t>
  </si>
  <si>
    <t>پایه اتصال پروژکتور به پایه باربند</t>
  </si>
  <si>
    <t>002074</t>
  </si>
  <si>
    <t>002080</t>
  </si>
  <si>
    <t>003010</t>
  </si>
  <si>
    <t>003011</t>
  </si>
  <si>
    <t>رول بار- طرح سفارشی</t>
  </si>
  <si>
    <t>003020</t>
  </si>
  <si>
    <t>003022</t>
  </si>
  <si>
    <t>003023</t>
  </si>
  <si>
    <t>پایه پرژکتور روی سقف</t>
  </si>
  <si>
    <t>003026</t>
  </si>
  <si>
    <t>003028</t>
  </si>
  <si>
    <t>کانکتور توبار سپر عقب</t>
  </si>
  <si>
    <t>003040</t>
  </si>
  <si>
    <t>قلاب صندلی</t>
  </si>
  <si>
    <t>003050</t>
  </si>
  <si>
    <t>مخرن آب استیل زیر خودرو</t>
  </si>
  <si>
    <t>003051</t>
  </si>
  <si>
    <t>مخرن آب استیل داخل کابین</t>
  </si>
  <si>
    <t>003052</t>
  </si>
  <si>
    <t>مخرن آب استیل روی باربند</t>
  </si>
  <si>
    <t>مخرن آب گالوانیزه زیر خودرو</t>
  </si>
  <si>
    <t>روکش صندلی تک</t>
  </si>
  <si>
    <t>003060</t>
  </si>
  <si>
    <t>مخرن آب گالوانیزه داخل کابین</t>
  </si>
  <si>
    <t>روکش صندلی جفت</t>
  </si>
  <si>
    <t>003062</t>
  </si>
  <si>
    <t>مخرن آب گالوانیزه روی باربند</t>
  </si>
  <si>
    <t>003090</t>
  </si>
  <si>
    <t>تخت‌خواب‌شو تک نفره استیشن</t>
  </si>
  <si>
    <t>تخت‌خواب‌شو دو نفره استیشن</t>
  </si>
  <si>
    <t>اورهال</t>
  </si>
  <si>
    <t>004010</t>
  </si>
  <si>
    <t>004012</t>
  </si>
  <si>
    <t>باربکیو ثابت</t>
  </si>
  <si>
    <t>004014</t>
  </si>
  <si>
    <t>ساج استیل و سه پایه</t>
  </si>
  <si>
    <t>004016</t>
  </si>
  <si>
    <t>زیر خواب</t>
  </si>
  <si>
    <t>002082</t>
  </si>
  <si>
    <t>900106</t>
  </si>
  <si>
    <t>900101</t>
  </si>
  <si>
    <t>900102</t>
  </si>
  <si>
    <t>کنار کشو دوبل</t>
  </si>
  <si>
    <t>990103</t>
  </si>
  <si>
    <t>کنار درب کشو</t>
  </si>
  <si>
    <t>990104</t>
  </si>
  <si>
    <t>پایه نصب کشو</t>
  </si>
  <si>
    <t>992001</t>
  </si>
  <si>
    <t>درب کشو فلزی ارتفاع کوتاه</t>
  </si>
  <si>
    <t>991002</t>
  </si>
  <si>
    <t>درب کشو فلزی ارتفاع بلند</t>
  </si>
  <si>
    <t>991001</t>
  </si>
  <si>
    <t>تعداد سفارش</t>
  </si>
  <si>
    <t>عنوان محصول</t>
  </si>
  <si>
    <t>کد فنی جدید</t>
  </si>
  <si>
    <t>تعداد قطعه</t>
  </si>
  <si>
    <t>خودرو</t>
  </si>
  <si>
    <t>سپر جلو با پایه وینچ و سینی رادیاتور و دو عدد پرژکتور مربع ال‌ای‌دی داخل سپر (2011-2007)</t>
  </si>
  <si>
    <t>160101</t>
  </si>
  <si>
    <t>سپر جلو با پایه وینچ و سینی رادیاتور و دو عدد پرژکتور مربع ال‌ای‌دی داخل سپر (2015-2012)</t>
  </si>
  <si>
    <t>161101</t>
  </si>
  <si>
    <t>161191</t>
  </si>
  <si>
    <t>161195</t>
  </si>
  <si>
    <t>سپر عقب ساده دارای گارد گلگیر عقب</t>
  </si>
  <si>
    <t>161200</t>
  </si>
  <si>
    <t>سپر عقب دو محور دارای گارد گلگیر عقب و بازویی زاپاس و بازویی گالن</t>
  </si>
  <si>
    <t>161220</t>
  </si>
  <si>
    <t>سپر عقب تک محور دارای گارد گلگیر عقب و بازویی زاپاس</t>
  </si>
  <si>
    <t>161211</t>
  </si>
  <si>
    <t>سپر عقب تک محور دارای گارد گلگیر عقب بازویی گالن</t>
  </si>
  <si>
    <t>161301</t>
  </si>
  <si>
    <t>باربند سبدی سقفی لبه بلند</t>
  </si>
  <si>
    <t>161405</t>
  </si>
  <si>
    <t>باربند سبدی سقفی لبه کوتاه</t>
  </si>
  <si>
    <t>باربند سبدی سقفی فلت</t>
  </si>
  <si>
    <t>ورق آلومینیوم آج‌دار روی باربند سقفی</t>
  </si>
  <si>
    <t>161471</t>
  </si>
  <si>
    <t>باربند روی فضای بار لبه بلند</t>
  </si>
  <si>
    <t>161415</t>
  </si>
  <si>
    <t>باربند روی فضای بار لبه کوتاه</t>
  </si>
  <si>
    <t>باربند روی فضای بار فلت</t>
  </si>
  <si>
    <t>ورق آلومینیوم آج‌دار روی باربند فضای بار</t>
  </si>
  <si>
    <t>161472</t>
  </si>
  <si>
    <t>رول‌بار</t>
  </si>
  <si>
    <t>161561</t>
  </si>
  <si>
    <t>پایه‌وینچ سپر فابریک جلو</t>
  </si>
  <si>
    <t>161177</t>
  </si>
  <si>
    <t>سینی رادیاتور ( مخصوص سپر فابریک)</t>
  </si>
  <si>
    <t>161171</t>
  </si>
  <si>
    <t>سینی رادیاتور (مخصوص پایه وینچ)</t>
  </si>
  <si>
    <t>161178</t>
  </si>
  <si>
    <t>باکس فلزی فضای بار</t>
  </si>
  <si>
    <t>161521</t>
  </si>
  <si>
    <t>کنوپی فلزی</t>
  </si>
  <si>
    <t>161501</t>
  </si>
  <si>
    <t>باربند سبدی روی کنوپی لبه بلند</t>
  </si>
  <si>
    <t>باربند سبدی روی کنوپی لبه کوتاه</t>
  </si>
  <si>
    <t>باربند سبدی روی کنوپی فلت</t>
  </si>
  <si>
    <t>مخزن آب گالوانیزه زیر خودرو</t>
  </si>
  <si>
    <t>161621</t>
  </si>
  <si>
    <t>مخزن آب استیل زیر خودرو</t>
  </si>
  <si>
    <t>161611</t>
  </si>
  <si>
    <t>دیف‌دراپ</t>
  </si>
  <si>
    <t>کیت ارتفاع دلفان( جلو )،(اسپیسر جلو)</t>
  </si>
  <si>
    <t>161701</t>
  </si>
  <si>
    <t>161705</t>
  </si>
  <si>
    <t>کیت ارتفاع دلفان ( عقب)،(اسپیسر عقب)</t>
  </si>
  <si>
    <t>161711</t>
  </si>
  <si>
    <t>161715</t>
  </si>
  <si>
    <t>ویل اسپیسر اف پاور(چهار عدد به همراه مهره‌ها)</t>
  </si>
  <si>
    <t xml:space="preserve">سپر جلو با پایه وینچ و سینی رادیاتور و دو عدد پرژکتور مربع ال‌ای‌دی داخل سپر </t>
  </si>
  <si>
    <t>165101</t>
  </si>
  <si>
    <t>گارد روی سپر (نیم گارد لوله‌ای)</t>
  </si>
  <si>
    <t>165191</t>
  </si>
  <si>
    <t>165200</t>
  </si>
  <si>
    <t>سپر عقب دو محور دارای گارد گلگیر عقب
و بازویی زاپاس و بازویی گالن</t>
  </si>
  <si>
    <t>165220</t>
  </si>
  <si>
    <t>165301</t>
  </si>
  <si>
    <t>165405</t>
  </si>
  <si>
    <t>165471</t>
  </si>
  <si>
    <t>165415</t>
  </si>
  <si>
    <t>165472</t>
  </si>
  <si>
    <t>165561</t>
  </si>
  <si>
    <t>165171</t>
  </si>
  <si>
    <t>165521</t>
  </si>
  <si>
    <t>165501</t>
  </si>
  <si>
    <t>مخزن آب استیل فضای بار</t>
  </si>
  <si>
    <t>165614</t>
  </si>
  <si>
    <t>سپر جلو با پایه وینچ و سینی رادیاتور و دو عدد پرژکتور گرد داخل سپر</t>
  </si>
  <si>
    <t>100101</t>
  </si>
  <si>
    <t>گارد پیچی روی سپر جلو (نیم گارد لوله‌ای)</t>
  </si>
  <si>
    <t>100191</t>
  </si>
  <si>
    <t>100200</t>
  </si>
  <si>
    <t>100301</t>
  </si>
  <si>
    <t>باربند سبدی سقفی لبه بلند بدون سانروف</t>
  </si>
  <si>
    <t>100405</t>
  </si>
  <si>
    <t>باربند سبدی سقفی لبه کوتاه بدون سانروف</t>
  </si>
  <si>
    <t>باربند سبدی سقفی لبه بلند سانروف دار</t>
  </si>
  <si>
    <t>باربند سبدی سقفی لبه کوتاه سانروف دار</t>
  </si>
  <si>
    <t>باربند فلت سقفی بدون سانروف</t>
  </si>
  <si>
    <t>100401</t>
  </si>
  <si>
    <t>باربند فلت سقفی سانروف دار</t>
  </si>
  <si>
    <t>باربند نیم سبد/فلت سقفی</t>
  </si>
  <si>
    <t>100431</t>
  </si>
  <si>
    <t>ورق آلومینیوم آج‌دار روی باربند</t>
  </si>
  <si>
    <t>100471</t>
  </si>
  <si>
    <t>100901</t>
  </si>
  <si>
    <t>100910</t>
  </si>
  <si>
    <t>کیت ارتفاع دلفان( جلو )،(اسپیسر جلو) کوتاه</t>
  </si>
  <si>
    <t>کیت ارتفاع دلفان( جلو )،(اسپیسر جلو) بلند</t>
  </si>
  <si>
    <t>کیت ارتفاع دلفان ( عقب)،(اسپیسر عقب) کوتاه</t>
  </si>
  <si>
    <t>کیت ارتفاع دلفان ( عقب)،(اسپیسر عقب) بلند</t>
  </si>
  <si>
    <t>100177</t>
  </si>
  <si>
    <t>سینی رادیاتور (برای سپر فابریک)</t>
  </si>
  <si>
    <t>100171</t>
  </si>
  <si>
    <t>سینی رادیاتور ( برای پایه وینچ سپر فابریک)</t>
  </si>
  <si>
    <t>100178</t>
  </si>
  <si>
    <t>مخزن آب بین کشو و صندلی 20 لیتری</t>
  </si>
  <si>
    <t>100612</t>
  </si>
  <si>
    <t>100920</t>
  </si>
  <si>
    <t>قلاب صندلی اف جی کروزر برای نیمه بسته ماندن هنگام نصب یخچال بزرگ</t>
  </si>
  <si>
    <t>100925</t>
  </si>
  <si>
    <t>120405</t>
  </si>
  <si>
    <t>باربند سبدی سقفی فلت سانروف دار</t>
  </si>
  <si>
    <t>120301</t>
  </si>
  <si>
    <t>باربند بین رک فابریک 6 عدد</t>
  </si>
  <si>
    <t>120441</t>
  </si>
  <si>
    <t>151171</t>
  </si>
  <si>
    <t>151176</t>
  </si>
  <si>
    <t>باربند بین رک فابریک پرادو 120 دو درب</t>
  </si>
  <si>
    <t>150441</t>
  </si>
  <si>
    <t>باربند بین رک فابریک پرادو 150 دو درب</t>
  </si>
  <si>
    <t>152441</t>
  </si>
  <si>
    <t>151441</t>
  </si>
  <si>
    <t>باربند بین رک فابریک پرادو 150 چهار درب(5عددی)</t>
  </si>
  <si>
    <t>153441</t>
  </si>
  <si>
    <t>باربند سبدی پرادو 120 دو درب لبه بلند</t>
  </si>
  <si>
    <t>150405</t>
  </si>
  <si>
    <t>باربند سبدی پرادو 120 دو درب لبه کوتاه</t>
  </si>
  <si>
    <t>باربند سبدی پرادو 120 دو درب فلت</t>
  </si>
  <si>
    <t>باربند سبدی پرادو 120 دو درب لبه بلند سانروف دار</t>
  </si>
  <si>
    <t>باربند سبدی پرادو 120 دو درب لبه کوتاه سانروف دار</t>
  </si>
  <si>
    <t>باربند سبدی پرادو 120 دو درب فلت سانروف دار</t>
  </si>
  <si>
    <t>باربند سبدی پرادو 120چهار درب لبه بلند</t>
  </si>
  <si>
    <t>151405</t>
  </si>
  <si>
    <t>باربند سبدی پرادو 120چهار درب لبه کوتاه</t>
  </si>
  <si>
    <t>باربند سبدی پرادو 120چهار درب فلت</t>
  </si>
  <si>
    <t>باربند سبدی پرادو 120 چهار درب لبه بلند سانروف دار</t>
  </si>
  <si>
    <t>باربند سبدی پرادو 120 چهار درب لبه کوتاه سانروف دار</t>
  </si>
  <si>
    <t>باربند سبدی پرادو 120 چهار درب فلت سانروف دار</t>
  </si>
  <si>
    <t>باربند سبدی پرادو 150 دو درب لبه بلند</t>
  </si>
  <si>
    <t>152405</t>
  </si>
  <si>
    <t>باربند سبدی پرادو 150 دو درب لبه کوتاه</t>
  </si>
  <si>
    <t>باربند سبدی پرادو 150 دو درب فلت</t>
  </si>
  <si>
    <t>باربند سبدی پرادو 150 دو درب لبه بلند سانروف دار</t>
  </si>
  <si>
    <t>باربند سبدی پرادو 150 دو درب لبه کوتاه سانروف دار</t>
  </si>
  <si>
    <t>باربند سبدی پرادو 150 دو درب فلت سانروف دار</t>
  </si>
  <si>
    <t>باربند سبدی پرادو 150 چهار درب لبه بلند</t>
  </si>
  <si>
    <t>153405</t>
  </si>
  <si>
    <t>باربند سبدی پرادو 150 چهار درب لبه کوتاه</t>
  </si>
  <si>
    <t>باربند سبدی پرادو 150 چهار درب فلت</t>
  </si>
  <si>
    <t>باربند سبدی پرادو 150 چهار درب لبه بلند سانروف دار</t>
  </si>
  <si>
    <t>باربند سبدی پرادو 150 چهار درب لبه کوتاه سانروف دار</t>
  </si>
  <si>
    <t>باربند سبدی پرادو 150 چهار درب فلت سانروف دار</t>
  </si>
  <si>
    <t>151177</t>
  </si>
  <si>
    <t>151178</t>
  </si>
  <si>
    <t>کشو پرادو دو درب سری 50 سانتی‌متری ارتفاع بلند تک فلزی</t>
  </si>
  <si>
    <t>کشو پرادو دو درب سری 50 سانتی‌متری ارتفاع بلند تک چوبی</t>
  </si>
  <si>
    <t>کشو پرادو دو درب سری 50 سانتی‌متری ارتفاع بلند تک عرض کم فلزی</t>
  </si>
  <si>
    <t xml:space="preserve">کشو پرادو دو درب سری 50 سانتی‌متری ارتفاع بلند تک عرض کم چوبی </t>
  </si>
  <si>
    <t>پایه نصب زمرد و پایه روی دیفرانسل ( دو دست) جهت تبدیل عقب بالن‌های عقب پرادو با فنرهای لول</t>
  </si>
  <si>
    <t>151915</t>
  </si>
  <si>
    <t>کیت افزایش ارتفاع (اسپیسر روی فنرهای عقب) کوتاه</t>
  </si>
  <si>
    <t>کیت افزایش ارتفاع (اسپیسر روی فنرهای عقب) بلند</t>
  </si>
  <si>
    <t>116101</t>
  </si>
  <si>
    <t>116191</t>
  </si>
  <si>
    <t>116195</t>
  </si>
  <si>
    <t xml:space="preserve">سپر عقب ساده </t>
  </si>
  <si>
    <t>116200</t>
  </si>
  <si>
    <t>سپر عقب تک محور با بازویی زاپاس</t>
  </si>
  <si>
    <t>116211</t>
  </si>
  <si>
    <t>سپر عقب دو محور دارای بازویی زاپاس و گالن</t>
  </si>
  <si>
    <t>116220</t>
  </si>
  <si>
    <t>116301</t>
  </si>
  <si>
    <t>رکاب هشت  سیلندری</t>
  </si>
  <si>
    <t>118301</t>
  </si>
  <si>
    <t>116405</t>
  </si>
  <si>
    <t>باربند  فلت بدون سانروف</t>
  </si>
  <si>
    <t>116401</t>
  </si>
  <si>
    <t>باربند  فلت سانروف دار</t>
  </si>
  <si>
    <t>116471</t>
  </si>
  <si>
    <t>نیم باربند سبدی/فلت</t>
  </si>
  <si>
    <t>116431</t>
  </si>
  <si>
    <t>116441</t>
  </si>
  <si>
    <t>مخزن آب (گالوانیزه) 80 لیتری زیر خودرو</t>
  </si>
  <si>
    <t>116621</t>
  </si>
  <si>
    <t>مخزن آب (استیل) 80 لیتری زیر خودرو</t>
  </si>
  <si>
    <t>116611</t>
  </si>
  <si>
    <t xml:space="preserve">مخزن ترکیبی بنزین و آب استیل 160 </t>
  </si>
  <si>
    <t>116661</t>
  </si>
  <si>
    <t>پایه وینچ سپر فابریک جلو</t>
  </si>
  <si>
    <t>116177</t>
  </si>
  <si>
    <t>سپر جلو با پایه وینچ و فرلید و دو
عدد پرژکتور دایره داخل سپر</t>
  </si>
  <si>
    <t>106101</t>
  </si>
  <si>
    <t>106191</t>
  </si>
  <si>
    <t>گارد گلگیرهای جلو</t>
  </si>
  <si>
    <t>106195</t>
  </si>
  <si>
    <t>106200</t>
  </si>
  <si>
    <t>سپر عقب تک محور- زاپاس بند</t>
  </si>
  <si>
    <t>سپر عقب تک محور- باک</t>
  </si>
  <si>
    <t>سپر عقب دو محور با بازویی زاپاس و بازویی گالن و گارد گلگیرهای عقب</t>
  </si>
  <si>
    <t>106220</t>
  </si>
  <si>
    <t>106301</t>
  </si>
  <si>
    <t>کیت ارتفاع دلفان جلو کوتاه</t>
  </si>
  <si>
    <t>کیت ارتفاع دلفان جلو بلند</t>
  </si>
  <si>
    <t>کیت ارتفاع دلفان عقب کوتاه</t>
  </si>
  <si>
    <t>کیت ارتفاع دلفان عقب بلند</t>
  </si>
  <si>
    <t>106405</t>
  </si>
  <si>
    <t>سپر جلو طرح 1 (ساده)</t>
  </si>
  <si>
    <t>104101</t>
  </si>
  <si>
    <t>سپر عقب طرح 1 (ساده با چراغ)</t>
  </si>
  <si>
    <t>104206</t>
  </si>
  <si>
    <t>گارد روی سپر طرح 1</t>
  </si>
  <si>
    <t>104191</t>
  </si>
  <si>
    <t>پایه وینچ سپر طرح 1</t>
  </si>
  <si>
    <t>104177</t>
  </si>
  <si>
    <t>سپر جلو طرح 2 با گارد و پایه وینچ</t>
  </si>
  <si>
    <t>سپر عقب دو محور با بازویی زاپاس و گالن</t>
  </si>
  <si>
    <t>104220</t>
  </si>
  <si>
    <t>باربند سبدی کالسکه</t>
  </si>
  <si>
    <t>104405</t>
  </si>
  <si>
    <t>باربند سبدی سری 40 استیشن</t>
  </si>
  <si>
    <t>114405</t>
  </si>
  <si>
    <t>نیم باربند سری 40 تک کابین وانتی</t>
  </si>
  <si>
    <t>104435</t>
  </si>
  <si>
    <t>167405</t>
  </si>
  <si>
    <t>167501</t>
  </si>
  <si>
    <t>باربند روی کنوپی لبه بلند</t>
  </si>
  <si>
    <t>باربند روی کنوپی لبه کوتاه</t>
  </si>
  <si>
    <t>باربند روی کنوپی لبه فلت</t>
  </si>
  <si>
    <t>168177</t>
  </si>
  <si>
    <t>سینی رادیاتور ( مخصوص پایه وینچ)</t>
  </si>
  <si>
    <t>168178</t>
  </si>
  <si>
    <t>سینی رادیاتور (مخصوص سپر فابریک)</t>
  </si>
  <si>
    <t>168171</t>
  </si>
  <si>
    <t>168405</t>
  </si>
  <si>
    <t>باربند بین رک 6 عدد</t>
  </si>
  <si>
    <t>500101</t>
  </si>
  <si>
    <t>گارد روی سپر (نیم گارد لوله‌ای وسط)</t>
  </si>
  <si>
    <t>500191</t>
  </si>
  <si>
    <t>500200</t>
  </si>
  <si>
    <t>500301</t>
  </si>
  <si>
    <t>باربند سبدی سقفی بلند</t>
  </si>
  <si>
    <t>500405</t>
  </si>
  <si>
    <t>باربند سبدی سقفی کوتاه</t>
  </si>
  <si>
    <t>500471</t>
  </si>
  <si>
    <t>باربند سبدی روی قسمت بار</t>
  </si>
  <si>
    <t>500415</t>
  </si>
  <si>
    <t>500472</t>
  </si>
  <si>
    <t>سوپرلید کامل دو درب</t>
  </si>
  <si>
    <t>500542</t>
  </si>
  <si>
    <t>سوپرلید کامل سه درب</t>
  </si>
  <si>
    <t>500543</t>
  </si>
  <si>
    <t>500521</t>
  </si>
  <si>
    <t>500501</t>
  </si>
  <si>
    <t>سینی کامل محافظ زیر خودرو</t>
  </si>
  <si>
    <t>500173</t>
  </si>
  <si>
    <t>سینی  باک</t>
  </si>
  <si>
    <t>500175</t>
  </si>
  <si>
    <t>سینی محافظ رادیاتور(برای سپر فابریک)</t>
  </si>
  <si>
    <t>500171</t>
  </si>
  <si>
    <t>باک آب زیر خودرو گالوانیزه</t>
  </si>
  <si>
    <t>500621</t>
  </si>
  <si>
    <t>باک آب زیر خودرو استیل</t>
  </si>
  <si>
    <t>500611</t>
  </si>
  <si>
    <t>540101</t>
  </si>
  <si>
    <t>جک T8</t>
  </si>
  <si>
    <t>گارد روی سپر(نیم گارد لوله‌ای وسط)</t>
  </si>
  <si>
    <t>540191</t>
  </si>
  <si>
    <t>540200</t>
  </si>
  <si>
    <t>540220</t>
  </si>
  <si>
    <t>540301</t>
  </si>
  <si>
    <t>540405</t>
  </si>
  <si>
    <t>540471</t>
  </si>
  <si>
    <t>540521</t>
  </si>
  <si>
    <t>201101</t>
  </si>
  <si>
    <t>201191</t>
  </si>
  <si>
    <t>201301</t>
  </si>
  <si>
    <t>سپر عقب با بازویی زاپاس پایه جک های‌لیفت</t>
  </si>
  <si>
    <t>201211</t>
  </si>
  <si>
    <t xml:space="preserve">سپر عقب با بازویی زاپاس و گالن </t>
  </si>
  <si>
    <t>201215</t>
  </si>
  <si>
    <t>201405</t>
  </si>
  <si>
    <t>201471</t>
  </si>
  <si>
    <t>باربند سبدی قسمت عقب رونیز</t>
  </si>
  <si>
    <t>201436</t>
  </si>
  <si>
    <t>کیت افزایش ارتفاع دلفان (گوشواره) عقب بلند</t>
  </si>
  <si>
    <t>کیت افزایش ارتفاع دلفان (گوشواره) عقب کوتاه</t>
  </si>
  <si>
    <t>کیت افزایش ارتفاع دلفان (میله واسطه موج‌گیر بلند)</t>
  </si>
  <si>
    <t>مخزن آب زیر خودرو (گالوانیزه)</t>
  </si>
  <si>
    <t>201621</t>
  </si>
  <si>
    <t>مخزن آب زیر خودرو (استیل)</t>
  </si>
  <si>
    <t>201611</t>
  </si>
  <si>
    <t>سینی رادیاتور و پایه‌وینچ سپر فابریک جلو</t>
  </si>
  <si>
    <t>201174</t>
  </si>
  <si>
    <t>224101</t>
  </si>
  <si>
    <r>
      <t xml:space="preserve">سپر جلو با پایه وینچ و سینی رادیاتور و دو عدد پرژکتور مربع ال‌ای‌دی داخل سپر </t>
    </r>
    <r>
      <rPr>
        <b/>
        <sz val="11"/>
        <color theme="1"/>
        <rFont val="B Nazanin"/>
        <charset val="178"/>
      </rPr>
      <t>پیکاپ با کله رونیز</t>
    </r>
  </si>
  <si>
    <t>224191</t>
  </si>
  <si>
    <t>224200</t>
  </si>
  <si>
    <t>224220</t>
  </si>
  <si>
    <t>رکاب (نیسان پیکاپ)</t>
  </si>
  <si>
    <t>224301</t>
  </si>
  <si>
    <t>رکاب (پیکاپ ریچ)</t>
  </si>
  <si>
    <t>225301</t>
  </si>
  <si>
    <t>224405</t>
  </si>
  <si>
    <t>224471</t>
  </si>
  <si>
    <t>باربند سبدی سقفی ( بدون سوراخ‌کاری سقف) لبه بلند</t>
  </si>
  <si>
    <t>224495</t>
  </si>
  <si>
    <t>باربند سبدی سقفی ( بدون سوراخ‌کاری سقف) لبه کوتاه</t>
  </si>
  <si>
    <t>باربند سبدی سقفی ( بدون سوراخ‌کاری سقف) فلت</t>
  </si>
  <si>
    <t>224415</t>
  </si>
  <si>
    <t>224472</t>
  </si>
  <si>
    <t>رول‌بار طرح 1</t>
  </si>
  <si>
    <t>224561</t>
  </si>
  <si>
    <t>رول‌بار طرح 2</t>
  </si>
  <si>
    <t>224563</t>
  </si>
  <si>
    <t>224521</t>
  </si>
  <si>
    <t>224501</t>
  </si>
  <si>
    <t>کیت افزایش ارتفاع دلفان عقب بلند</t>
  </si>
  <si>
    <t>کیت افزایش ارتفاع دلفان عقب کوتاه</t>
  </si>
  <si>
    <t>کیت افزایش ارتفاع دلفان جلو بلند</t>
  </si>
  <si>
    <t>کیت افزایش ارتفاع دلفان جلو کوتاه</t>
  </si>
  <si>
    <t>مخزن آب (گالوانیزه) زیر خودرو</t>
  </si>
  <si>
    <t>224621</t>
  </si>
  <si>
    <t>مخزن آب (استیل) زیر خودرو</t>
  </si>
  <si>
    <t>224611</t>
  </si>
  <si>
    <t>مخزن بنزین</t>
  </si>
  <si>
    <t>224641</t>
  </si>
  <si>
    <t>سینی محافظ کامل زیر خودرو</t>
  </si>
  <si>
    <t>224173</t>
  </si>
  <si>
    <t>202301</t>
  </si>
  <si>
    <t>202405</t>
  </si>
  <si>
    <t>202471</t>
  </si>
  <si>
    <t>سپر جلو با پایه وینچ و فرلید و دوعدد پرژکتور دایره داخل سپر</t>
  </si>
  <si>
    <t>212101</t>
  </si>
  <si>
    <t xml:space="preserve">گارد روی سپر </t>
  </si>
  <si>
    <t>212191</t>
  </si>
  <si>
    <t>سپر عقب ساده با گارد محافظ 
گلگیرهای عقب</t>
  </si>
  <si>
    <t>212200</t>
  </si>
  <si>
    <t>سپر عقب دو محور با بازویی زاپاس وگالن و گارد محافظ گلگیر عقب</t>
  </si>
  <si>
    <t>212220</t>
  </si>
  <si>
    <t>212301</t>
  </si>
  <si>
    <t>214301</t>
  </si>
  <si>
    <t>باربند سبدی نیمه ( فقط سقف فلزی) پاترول دو درب لبه بلند</t>
  </si>
  <si>
    <t>212435</t>
  </si>
  <si>
    <t>باربند سبدی نیمه ( فقط سقف فلزی) پاترول دو درب لبه کوتاه</t>
  </si>
  <si>
    <t>باربند سبدی نیمه ( فقط سقف فلزی) پاترول دو درب فلت</t>
  </si>
  <si>
    <t>باربند سبدی کامل پاترول دو درب لبه بلند</t>
  </si>
  <si>
    <t>212405</t>
  </si>
  <si>
    <t>باربند سبدی کامل پاترول دو درب لبه کوتاه</t>
  </si>
  <si>
    <t>باربند سبدی کامل پاترول دو درب فلت</t>
  </si>
  <si>
    <t>214405</t>
  </si>
  <si>
    <t>ورق آلومینوم نیم باربند پاترول دو درب</t>
  </si>
  <si>
    <t>212473</t>
  </si>
  <si>
    <t>ورق آلومینیوم باربند کامل پاترول دو درب</t>
  </si>
  <si>
    <t>212471</t>
  </si>
  <si>
    <t>ورق آلومینیوم باربند پاترول چهار درب</t>
  </si>
  <si>
    <t>214471</t>
  </si>
  <si>
    <t>کیت افزایش ارتفاع دلفان (گوشواره) جلو بلند</t>
  </si>
  <si>
    <t>کیت افزایش ارتفاع دلفان (گوشواره) جلو کوتاه</t>
  </si>
  <si>
    <t>کشو پاترول دو درب سری 80 سانتی‌متری ارتفاع بلند تک</t>
  </si>
  <si>
    <t>کشو پاترول دو درب سری 80 سانتی‌متری ارتفاع بلند دوبل</t>
  </si>
  <si>
    <t>کشو پاترول دو درب سری 80 سانتی‌متری ارتفاع بلند تک عرض کم</t>
  </si>
  <si>
    <t>کشو سری 100 سانتی‌متری ارتفاع بلند تک فلزی</t>
  </si>
  <si>
    <t>کشو سری 100 سانتی‌متری ارتفاع بلند تک چوبی</t>
  </si>
  <si>
    <t>کشو سری 100 سانتی‌متری ارتفاع کوتاه تک فلزی</t>
  </si>
  <si>
    <t>کشو سری 100 سانتی‌متری ارتفاع کوتاه تک چوبی</t>
  </si>
  <si>
    <t>402101</t>
  </si>
  <si>
    <t>402200</t>
  </si>
  <si>
    <t>باربند سقفی لبه بلند</t>
  </si>
  <si>
    <t>402405</t>
  </si>
  <si>
    <t>باربند سقفی لبه کوتاه</t>
  </si>
  <si>
    <t>باربند سقفی فلت</t>
  </si>
  <si>
    <t>رکاب پاجرو گروه بهمن</t>
  </si>
  <si>
    <t>430301</t>
  </si>
  <si>
    <t>باربند پاجرو گروه بهمن بدون سانروف لبه بلند</t>
  </si>
  <si>
    <t>430405</t>
  </si>
  <si>
    <t>باربند پاجرو گروه بهمن بدون سانروف لبه کوتاه</t>
  </si>
  <si>
    <t>باربند پاجرو گروه بهمن بدون سانروف فلت</t>
  </si>
  <si>
    <t xml:space="preserve">باربند پاجرو گروه بهمن دارای فضای سانروف لبه بلند </t>
  </si>
  <si>
    <t>430406</t>
  </si>
  <si>
    <t>باربند پاجرو گروه بهمن دارای فضای سانروف لبه کوتاه</t>
  </si>
  <si>
    <t>باربند پاجرو گروه بهمن دارای فضای سانروف فلت</t>
  </si>
  <si>
    <t>باربند بین رک پاجرو گروه بهمن</t>
  </si>
  <si>
    <t>430441</t>
  </si>
  <si>
    <t>باربند پاجرو نسل چهارم دو درب لبه بلند</t>
  </si>
  <si>
    <t>433405</t>
  </si>
  <si>
    <t>باربند پاجرو نسل چهارم دو درب لبه کوتاه</t>
  </si>
  <si>
    <t>باربند پاجرو نسل چهارم دو درب فلت</t>
  </si>
  <si>
    <t>باربند پاجرو نسل چهارم چهار درب 140*115 لبه بلند</t>
  </si>
  <si>
    <t>434405</t>
  </si>
  <si>
    <t>باربند پاجرو نسل چهارم چهار درب 140*115 لبه کوتاه</t>
  </si>
  <si>
    <t>باربند پاجرو نسل چهارم چهار درب 140*115 فلت</t>
  </si>
  <si>
    <t>باربند پاجرو نسل دوم دو درب لبه بلند</t>
  </si>
  <si>
    <t>باربند پاجرو نسل دوم دو درب لبه کوتاه</t>
  </si>
  <si>
    <t>باربند پاجرو نسل دوم دو درب فلت</t>
  </si>
  <si>
    <t>باربند پاجرو نسل دوم چهار درب لبه بلند</t>
  </si>
  <si>
    <t>باربند پاجرو نسل دوم چهار درب لبه کوتاه</t>
  </si>
  <si>
    <t>باربند پاجرو نسل دوم چهار درب فلت</t>
  </si>
  <si>
    <t>باربند میتسوبیشی پاجرو انتظامی لبه بلند</t>
  </si>
  <si>
    <t>باربند میتسوبیشی پاجرو انتظامی لبه کوتاه</t>
  </si>
  <si>
    <t>باربند میتسوبیشی پاجرو انتظامی فلت</t>
  </si>
  <si>
    <t>کیت افزایش ارتفاع کوتاه عقب</t>
  </si>
  <si>
    <t>کیت افزایش ارتفاع بلند عقب</t>
  </si>
  <si>
    <t>سپر عقب ساده کاپرا یک</t>
  </si>
  <si>
    <t>باربند سبدی سقفی کاپرا یک لبه بلند</t>
  </si>
  <si>
    <t>420405</t>
  </si>
  <si>
    <t>باربند سبدی سقفی کاپرا یک لبه کوتاه</t>
  </si>
  <si>
    <t>باربند سبدی سقفی کاپرا یک فلت</t>
  </si>
  <si>
    <t>باکس فلزی فضای بار کاپرا دو</t>
  </si>
  <si>
    <t>422521</t>
  </si>
  <si>
    <t>باربند سبدی سقفی کاپرا دو لبه بلند</t>
  </si>
  <si>
    <t>422405</t>
  </si>
  <si>
    <t>باربند سبدی سقفی کاپرا دو لبه کوتاه</t>
  </si>
  <si>
    <t>باربند سبدی سقفی کاپرا دو فلت</t>
  </si>
  <si>
    <t>رکاب کاپرا دو</t>
  </si>
  <si>
    <t>422301</t>
  </si>
  <si>
    <t>422200</t>
  </si>
  <si>
    <t>422501</t>
  </si>
  <si>
    <t>سپر جلو با فرلید وینچ و دو عدد پرژکتور</t>
  </si>
  <si>
    <t>462101</t>
  </si>
  <si>
    <t>462191</t>
  </si>
  <si>
    <t>سپر عقب ساده دارای گارد محافظ گلگیرهای عقب</t>
  </si>
  <si>
    <t>462200</t>
  </si>
  <si>
    <t>462220</t>
  </si>
  <si>
    <t>462301</t>
  </si>
  <si>
    <t>باربند سبدی سقفی پاژن وانت دو کابین لبه بلند</t>
  </si>
  <si>
    <t>461405</t>
  </si>
  <si>
    <t>باربند سبدی سقفی پاژن وانت دو کابین لبه کوتاه</t>
  </si>
  <si>
    <t>باربند سبدی سقفی پاژن وانت دو کابین فلت</t>
  </si>
  <si>
    <t>باربند پاژن استیشن لبه بلند</t>
  </si>
  <si>
    <t>460405</t>
  </si>
  <si>
    <t>باربند پاژن استیشن لبه کوتاه</t>
  </si>
  <si>
    <t>باربند پاژن استیشن فلت</t>
  </si>
  <si>
    <t>462501</t>
  </si>
  <si>
    <t>520405</t>
  </si>
  <si>
    <t>کیت افزایش ارتفاعپ جلو کوتاه</t>
  </si>
  <si>
    <t>سینی محافظ زیر خودرو</t>
  </si>
  <si>
    <t>320173</t>
  </si>
  <si>
    <t>320405</t>
  </si>
  <si>
    <t>کشو ویتارا سری 50 سانتی‌متری ارتفاع بلند تک</t>
  </si>
  <si>
    <t>کشو ویتارا سری 50 سانتی‌متری ارتفاع بلند تک عرض کم</t>
  </si>
  <si>
    <t>301405</t>
  </si>
  <si>
    <t>رنـــو داستر</t>
  </si>
  <si>
    <t>301173</t>
  </si>
  <si>
    <t>311405</t>
  </si>
  <si>
    <t>سنگ‌یانگ کوراندو</t>
  </si>
  <si>
    <t>310405</t>
  </si>
  <si>
    <t>سنگ‌یانگ اکتیون</t>
  </si>
  <si>
    <t>341405</t>
  </si>
  <si>
    <t>203405</t>
  </si>
  <si>
    <t>باربند سبدی سایز 140*115 سانتی متر لبه بلند</t>
  </si>
  <si>
    <t>باربند سبدی سایز 140*115 سانتی متر لبه کوتاه</t>
  </si>
  <si>
    <t>باربند سبدی سایز 140*115 سانتی متر فلت</t>
  </si>
  <si>
    <t>سینی زیر کامل</t>
  </si>
  <si>
    <t>330173</t>
  </si>
  <si>
    <t>کشو سری 70 سانتی‌متری ارتفاع بلند تک چوبی</t>
  </si>
  <si>
    <t>کشو سری 70 سانتی‌متری ارتفاع بلند تک فلزی</t>
  </si>
  <si>
    <t>کشو سری 70 سانتی‌متری ارتفاع کوتاه تک فلزی</t>
  </si>
  <si>
    <t>کشو سری 70 سانتی‌متری ارتفاع کوتاه تک چوبی</t>
  </si>
  <si>
    <t>کشو سری 80 سانتی‌متری ارتفاع بلند تک فلزی</t>
  </si>
  <si>
    <t>فورچونر،رونیز،پاجرو</t>
  </si>
  <si>
    <t>کشو سری 80 سانتی‌متری ارتفاع بلند تک چوبی</t>
  </si>
  <si>
    <t>کشو سری 80 سانتی‌متری ارتفاع کوتاه تک فلزی</t>
  </si>
  <si>
    <t>کشو سری 80 سانتی‌متری ارتفاع کوتاه تک چوبی</t>
  </si>
  <si>
    <t>لندکروزر 200،100،60،سرانزا</t>
  </si>
  <si>
    <t>کشو وانتی سری 125 سانتی‌متری ارتفاع بلند تک فلزی</t>
  </si>
  <si>
    <t>تایگر،کاپرا2</t>
  </si>
  <si>
    <t>کشو وانتی سری 125 سانتی‌متری ارتفاع بلند تک چوبی</t>
  </si>
  <si>
    <t>کشو وانتی سری 130 سانتی‌متری ارتفاع بلند تک فلزی</t>
  </si>
  <si>
    <t>کشو وانتی سری 130 سانتی‌متری ارتفاع بلند تک چوبی</t>
  </si>
  <si>
    <t>کشو وانتی سری 130 سانتی‌متری ارتفاع کوتاه تک فلزی</t>
  </si>
  <si>
    <t>کشو وانتی سری 130 سانتی‌متری ارتفاع کوتاه تک چوبی</t>
  </si>
  <si>
    <t>کشو وانتی سری 140 سانتی‌متری ارتفاع بلند تک فلزی</t>
  </si>
  <si>
    <t>ویگو،ریوو،فوتون،کاپرا یک،آمیکو، T8</t>
  </si>
  <si>
    <t>کشو وانتی سری 140 سانتی‌متری ارتفاع بلند تک چوبی</t>
  </si>
  <si>
    <t>کشو وانتی سری 140 سانتی‌متری ارتفاع کوتاه تک فلزی</t>
  </si>
  <si>
    <t>کشو وانتی سری 140 سانتی‌متری ارتفاع کوتاه تک چوبی</t>
  </si>
  <si>
    <t>کشو پاجرویی سری 80 سانتی‌متری ارتفاع بلند تک فلزی</t>
  </si>
  <si>
    <t>کشو پاجرویی سری 80 سانتی‌متری ارتفاع بلند تک چوبی</t>
  </si>
  <si>
    <t>کشو وانتی پاژن دوکابین تک فلت ارتفاع کوتاه فلزی</t>
  </si>
  <si>
    <t>کشو وانتی پاژن دوکابین تک فلت ارتفاع کوتاه چوبی</t>
  </si>
  <si>
    <t>باکس فلزی یخچال کوچک ( مناسب برای ریل کوچک)</t>
  </si>
  <si>
    <t>باکس فلزی یخچال بزرگ (مناسب برای ریل کوچک)</t>
  </si>
  <si>
    <t>روکش صندلی (جفت)</t>
  </si>
  <si>
    <t>روکش صندلی (تک)</t>
  </si>
  <si>
    <t>مال‌بند شکل وسط + قلاب شکل</t>
  </si>
  <si>
    <t>مال‌بند ساده (بدون گوی)</t>
  </si>
  <si>
    <t>مال‌بند پله‌ای (بدون گوی)</t>
  </si>
  <si>
    <t>مال‌بند دارای تنظیم ارتفاع (بدون گوی)</t>
  </si>
  <si>
    <t>تبدیل پایه مال‌بند چهارپیچ لندکروزری به توبار</t>
  </si>
  <si>
    <t>تبدیل توبار به پایه مال‌بند چهارپیچ لندکروزری</t>
  </si>
  <si>
    <t>سه‌پایه آتش</t>
  </si>
  <si>
    <t>باربیکیو ثابت</t>
  </si>
  <si>
    <t>آتش‌دان</t>
  </si>
  <si>
    <t>پایه فارم‌جک باربندی (لوله‌ای، جفت)</t>
  </si>
  <si>
    <t>پایه تبر باربندی استاندارد</t>
  </si>
  <si>
    <t>پایه تبر باربندی کوتاه</t>
  </si>
  <si>
    <t>پایه بیل باربندی استاندارد</t>
  </si>
  <si>
    <t>پایه بیل باربندی کوتاه</t>
  </si>
  <si>
    <t>پایه باربند ناودانی (عددی)</t>
  </si>
  <si>
    <t>پله دور زاپاس با تسمه</t>
  </si>
  <si>
    <t>پایه اتصال پرژکتور به پایه باربند (جفت)</t>
  </si>
  <si>
    <t>هولـــدر موتــــور</t>
  </si>
  <si>
    <t>پایه گالن (تک) لوله ای</t>
  </si>
  <si>
    <t>پایه گالن (تک) صفحه ای</t>
  </si>
  <si>
    <t>پایه گالن لوله ای (دوبل)</t>
  </si>
  <si>
    <t>یدک کش (تریلر)</t>
  </si>
  <si>
    <t>بادشکن(دیفیوزر)-همه باربندها</t>
  </si>
  <si>
    <t>پایه سایه‌بان</t>
  </si>
  <si>
    <t>آتش دان</t>
  </si>
  <si>
    <t>اسپیسر باربند</t>
  </si>
  <si>
    <t>002061</t>
  </si>
  <si>
    <t>سپر جلو با گارد جوشکاری شده</t>
  </si>
  <si>
    <t>دیوایدر عقب كابين 130*55</t>
  </si>
  <si>
    <t>900103</t>
  </si>
  <si>
    <t xml:space="preserve">سپر عقب تک محور جیپ شهباز </t>
  </si>
  <si>
    <t xml:space="preserve">گارد سپر جلو جیپ شهباز </t>
  </si>
  <si>
    <t xml:space="preserve">پایه وینچ پرتابل سپر عقب </t>
  </si>
  <si>
    <t xml:space="preserve">مهدی پروانه </t>
  </si>
  <si>
    <t>406211</t>
  </si>
  <si>
    <t>500425</t>
  </si>
  <si>
    <t>406101</t>
  </si>
  <si>
    <t>406191</t>
  </si>
  <si>
    <t>406174</t>
  </si>
  <si>
    <t>100403</t>
  </si>
  <si>
    <t>540920</t>
  </si>
  <si>
    <t>مالبند سپر فابریک /کانکتور</t>
  </si>
  <si>
    <t>سینی محافظ سپر عقب پرادو 120-4 درب</t>
  </si>
  <si>
    <t>سینی محافظ رادیاتور پرادو 120-4 درب</t>
  </si>
  <si>
    <t>سینی محافظ سپر عقب پرادو 120-2 درب</t>
  </si>
  <si>
    <t>سینی محافظ رادیاتور پرادو 120-2 درب</t>
  </si>
  <si>
    <t>سینی محافظ رادیاتور  پرادو 150 -4 درب</t>
  </si>
  <si>
    <t>سینی محافظ سپر عقب پرادو 150 -4 درب</t>
  </si>
  <si>
    <t>سینی محافظ رادیاتور  پرادو 150 -2 درب</t>
  </si>
  <si>
    <t>سینی محافظ سپر عقب پرادو 150 -2 درب</t>
  </si>
  <si>
    <t>تویوتا پرادو 150 -2 درب</t>
  </si>
  <si>
    <t>پایه وینچ سپر فابریک جلو پرادو  120-4 درب</t>
  </si>
  <si>
    <t>سینی رادیاتور مخصوص پایه وینچ پرادو  120-4 درب</t>
  </si>
  <si>
    <t>پایه وینچ سپر فابریک جلو پرادو  120-2 درب</t>
  </si>
  <si>
    <t>سینی رادیاتور مخصوص پایه وینچ پرادو  120-2 درب</t>
  </si>
  <si>
    <t>پایه وینچ سپر فابریک جلو پرادو  150-2 درب</t>
  </si>
  <si>
    <t>سینی رادیاتور مخصوص پایه وینچ پرادو  150-2 درب</t>
  </si>
  <si>
    <t>پایه وینچ سپر فابریک جلو پرادو  150-4 درب</t>
  </si>
  <si>
    <t>سینی رادیاتور مخصوص پایه وینچ پرادو  150-4 درب</t>
  </si>
  <si>
    <t>تویوتا پرادو 150-4 درب</t>
  </si>
  <si>
    <t>استند متحرک تیپ یک</t>
  </si>
  <si>
    <t>استند متحرک تیپ دو</t>
  </si>
  <si>
    <t>استند میز</t>
  </si>
  <si>
    <t>استند باربند</t>
  </si>
  <si>
    <t>استند ال سی دی</t>
  </si>
  <si>
    <t>استند دیواری سپر</t>
  </si>
  <si>
    <t>006020</t>
  </si>
  <si>
    <t>006021</t>
  </si>
  <si>
    <t>006022</t>
  </si>
  <si>
    <t>006023</t>
  </si>
  <si>
    <t>006024</t>
  </si>
  <si>
    <t>006025</t>
  </si>
  <si>
    <t>وزن پیچ و مهره</t>
  </si>
  <si>
    <t xml:space="preserve">نیاز به طراحی </t>
  </si>
  <si>
    <t>پایه باربند پاترولی (اواز)</t>
  </si>
  <si>
    <t>استند کشو</t>
  </si>
  <si>
    <t>006026</t>
  </si>
  <si>
    <t>کیت 1198</t>
  </si>
  <si>
    <t>فولکس واگن T5</t>
  </si>
  <si>
    <t>ورود به انبار</t>
  </si>
  <si>
    <t>کنسل</t>
  </si>
  <si>
    <t>اتصال گارد بغل به سپر جلو</t>
  </si>
  <si>
    <t>پایه گالن (تک) لوله ای برای گالن 20 لیتری پلاستیکی</t>
  </si>
  <si>
    <t>باربند نیم فلت سقفی با لبه بلند در قسمت جلو</t>
  </si>
  <si>
    <t>400g</t>
  </si>
  <si>
    <t>یواز پاتریوت</t>
  </si>
  <si>
    <t>باربند نیم فلت سقفی با لبه بلند در قسمت</t>
  </si>
  <si>
    <t>کیت ارتفاع جلو 1 سانت</t>
  </si>
  <si>
    <t>کیت ارتفاع جلو 2 سانت</t>
  </si>
  <si>
    <t>کیت ارتفاع جلو 3 سانت</t>
  </si>
  <si>
    <t>کیت ارتفاع جلو 4 سانت</t>
  </si>
  <si>
    <t>کیت ارتفاع جلو 5 سانت</t>
  </si>
  <si>
    <t>کیت ارتفاع جلو 6 سانت</t>
  </si>
  <si>
    <t>کیت ارتفاع جلو 7 سانت</t>
  </si>
  <si>
    <t>کیت ارتفاع جلو 8 سانت</t>
  </si>
  <si>
    <t>کیت ارتفاع جلو 9 سانت</t>
  </si>
  <si>
    <t>کیت ارتفاع جلو 10 سانت</t>
  </si>
  <si>
    <t>کیت ارتفاع جلو 1.5 سانت</t>
  </si>
  <si>
    <t>کیت ارتفاع عقب 1 سانت</t>
  </si>
  <si>
    <t>کیت ارتفاع عقب 2 سانت</t>
  </si>
  <si>
    <t>کیت ارتفاع عقب 3 سانت</t>
  </si>
  <si>
    <t>کیت ارتفاع عقب 4 سانت</t>
  </si>
  <si>
    <t>کیت ارتفاع عقب 5 سانت</t>
  </si>
  <si>
    <t>کیت ارتفاع عقب 6 سانت</t>
  </si>
  <si>
    <t>کیت ارتفاع عقب 7 سانت</t>
  </si>
  <si>
    <t>کیت ارتفاع عقب 8 سانت</t>
  </si>
  <si>
    <t>کیت ارتفاع عقب 9 سانت</t>
  </si>
  <si>
    <t>کیت ارتفاع عقب 10 سانت</t>
  </si>
  <si>
    <t>کیت ارتفاع عقب 1.5 سانت</t>
  </si>
  <si>
    <t>نیسان پاترول آمبولانسی</t>
  </si>
  <si>
    <t>900107</t>
  </si>
  <si>
    <t>ورق آلومینیوم آج دار روی سطح کشو</t>
  </si>
  <si>
    <t xml:space="preserve">باربند لبه بلند روی کنوپی </t>
  </si>
  <si>
    <t xml:space="preserve">باربند لبه کوتاه سانروف دار </t>
  </si>
  <si>
    <t xml:space="preserve">مخزن آب گالوانیزه </t>
  </si>
  <si>
    <t xml:space="preserve">کانکتور زنبیلی وینچ برای توبار سپر عقب </t>
  </si>
  <si>
    <t>225180</t>
  </si>
  <si>
    <t xml:space="preserve">باربند سبدی سقفی با پایه بدون سوراخکاری </t>
  </si>
  <si>
    <t>5:30:00</t>
  </si>
  <si>
    <t>نیسان پیکاپ 4درب</t>
  </si>
  <si>
    <t>باربند سقفی فلت بدون سوراخکاری</t>
  </si>
  <si>
    <t>پایه نصب کشو سوراخ دار</t>
  </si>
  <si>
    <t>پایه اتصال گالن فلت</t>
  </si>
  <si>
    <t>003054</t>
  </si>
  <si>
    <t>پایه باربند سقفی سوراخ دار</t>
  </si>
  <si>
    <t>پایه باربند قسمت بار</t>
  </si>
  <si>
    <t>پایه باربند سقفی فاقد سوراخ</t>
  </si>
  <si>
    <t xml:space="preserve">باربند فلت روی کنوپی </t>
  </si>
  <si>
    <t>باربند لبه کوتاه فاقد سوراخ</t>
  </si>
  <si>
    <t>پایه قلاب شکل سینی پایه وینچ سپر فابریک</t>
  </si>
  <si>
    <t>کله زاپاس بند</t>
  </si>
  <si>
    <t>462405</t>
  </si>
  <si>
    <t>462425</t>
  </si>
  <si>
    <t>108301</t>
  </si>
  <si>
    <t>باربند لبه بلند بدون سانروف فاقد سوراخ</t>
  </si>
  <si>
    <t>161495</t>
  </si>
  <si>
    <t>161181</t>
  </si>
  <si>
    <t>در انتظار نوبت نصب</t>
  </si>
  <si>
    <t>سینی سپر عقب</t>
  </si>
  <si>
    <t>14</t>
  </si>
  <si>
    <t>224195</t>
  </si>
  <si>
    <t>107101</t>
  </si>
  <si>
    <t>تویوتا لندکروزر70</t>
  </si>
  <si>
    <t>320171</t>
  </si>
  <si>
    <t>پاژن دیزل</t>
  </si>
  <si>
    <t>992003</t>
  </si>
  <si>
    <t xml:space="preserve">نردبان سفارشی </t>
  </si>
  <si>
    <t>800g</t>
  </si>
  <si>
    <t>900g</t>
  </si>
  <si>
    <t>108200</t>
  </si>
  <si>
    <t>151181</t>
  </si>
  <si>
    <t>153431</t>
  </si>
  <si>
    <t>باکس سازماندهی ال شکل (لوله و توری فلزی) کوچک</t>
  </si>
  <si>
    <t>باکس سازماندهی ال‌ شکل (لوله و توری فلزی) بزرگ</t>
  </si>
  <si>
    <t>برف روب کامل- 200</t>
  </si>
  <si>
    <t>برف روب کامل- 230</t>
  </si>
  <si>
    <t>برف روب کامل- 250</t>
  </si>
  <si>
    <t>پاکت برف روب-200</t>
  </si>
  <si>
    <t>پاکت برف روب-230</t>
  </si>
  <si>
    <t>پاکت برف روب- 250</t>
  </si>
  <si>
    <t>نیسان وانت</t>
  </si>
  <si>
    <t>بادشکن خم دار</t>
  </si>
  <si>
    <t>ورق آلومینیوم باربند روی کنوپی</t>
  </si>
  <si>
    <t>900105</t>
  </si>
  <si>
    <t>214407</t>
  </si>
  <si>
    <t>15</t>
  </si>
  <si>
    <t>گالن بند لوله ای تک</t>
  </si>
  <si>
    <t>سپر عقب دو محور - بدون بازویی</t>
  </si>
  <si>
    <t>161224</t>
  </si>
  <si>
    <t>سپر عقب دو محور- بدون بازویی</t>
  </si>
  <si>
    <t>سپر عقب دو محور- بازویی زاپاس بند و باک</t>
  </si>
  <si>
    <t>117220</t>
  </si>
  <si>
    <t>پین و اشپیل کوچک</t>
  </si>
  <si>
    <t>002085</t>
  </si>
  <si>
    <t>002086</t>
  </si>
  <si>
    <t>109301</t>
  </si>
  <si>
    <t>161474</t>
  </si>
  <si>
    <t>2.2</t>
  </si>
  <si>
    <t>201474</t>
  </si>
  <si>
    <t>باربند فلت روی بار</t>
  </si>
  <si>
    <t>ST</t>
  </si>
  <si>
    <t>SF</t>
  </si>
  <si>
    <t>سفارشی تنکابن</t>
  </si>
  <si>
    <t>سفارشی تهران</t>
  </si>
  <si>
    <t>میله بین رک فابریک طرح 1 (قوطی)</t>
  </si>
  <si>
    <t>میله بین رک فابریک طرح 2 (ناودانی)</t>
  </si>
  <si>
    <t>R</t>
  </si>
  <si>
    <t>اصلاحی و رنگ مجدد</t>
  </si>
  <si>
    <t>ساپورت (بازویی) طرح قدیم</t>
  </si>
  <si>
    <t>900104</t>
  </si>
  <si>
    <t>مال بند پله ای (بدون گوی) 70mm</t>
  </si>
  <si>
    <t>مال بند پله ای (بدون گوی) 20mm</t>
  </si>
  <si>
    <t>002013</t>
  </si>
  <si>
    <t>002014</t>
  </si>
  <si>
    <t>مال بند پله ای (بدون گوی) 50mm</t>
  </si>
  <si>
    <t>کیت ارتفاع جلو 2.5 سانت</t>
  </si>
  <si>
    <t>540401</t>
  </si>
  <si>
    <t>پاکت برف روب 200</t>
  </si>
  <si>
    <t>230810</t>
  </si>
  <si>
    <t xml:space="preserve">باربند سقفی لبه 5/5 سانتی بدون سانروف </t>
  </si>
  <si>
    <t>109403</t>
  </si>
  <si>
    <t>تویوتا پرادو 120-4درب</t>
  </si>
  <si>
    <t>یواز پیکاپ</t>
  </si>
  <si>
    <t>دیوایدر کشو ارتفاع 20 سانتی</t>
  </si>
  <si>
    <t>دیوایدر کشو ارتفاع 12 سانتی</t>
  </si>
  <si>
    <t>422421</t>
  </si>
  <si>
    <t>422745</t>
  </si>
  <si>
    <t>کاپرا دو کابین</t>
  </si>
  <si>
    <t>224745</t>
  </si>
  <si>
    <t>201745</t>
  </si>
  <si>
    <t>گونیا بغل کشو طرح جدید</t>
  </si>
  <si>
    <t>پایه کشو دوبل</t>
  </si>
  <si>
    <t>992005</t>
  </si>
  <si>
    <t>992006</t>
  </si>
  <si>
    <t>امیر حسین خلعتبری</t>
  </si>
  <si>
    <t>بازویی نردبان</t>
  </si>
  <si>
    <t xml:space="preserve">باربند سقفی فلت بدون سانروف </t>
  </si>
  <si>
    <t>108401</t>
  </si>
  <si>
    <t>ریل یخچال وایکو 40 لیتری</t>
  </si>
  <si>
    <t>001006</t>
  </si>
  <si>
    <t>108621</t>
  </si>
  <si>
    <t>سپر عقب تک محور بازویی زاپاس بند</t>
  </si>
  <si>
    <t>108211</t>
  </si>
  <si>
    <t>108101</t>
  </si>
  <si>
    <t>کیت افزایش ارتفاع کامل 2 سانت</t>
  </si>
  <si>
    <t>باربند بین رک فابریک</t>
  </si>
  <si>
    <t xml:space="preserve">سینی محافظ رادیاتور سپر فابریک </t>
  </si>
  <si>
    <t>540171</t>
  </si>
  <si>
    <t>تویوتا اف جی 40 تک کابین</t>
  </si>
  <si>
    <t>تویوتا لندکروزر 70 دوکابین</t>
  </si>
  <si>
    <t>116442</t>
  </si>
  <si>
    <t>430422</t>
  </si>
  <si>
    <t>161743</t>
  </si>
  <si>
    <t>تویوتا هایلوکس ویگو 2012-2015</t>
  </si>
  <si>
    <t>کیت ارتفاع عقب 2/5 سانت</t>
  </si>
  <si>
    <t>کیت ارتفاع عقب 3/5 سانت</t>
  </si>
  <si>
    <t>کیت ارتفاع جلو 3/5 سانت</t>
  </si>
  <si>
    <t>باربند فلت کابین عقب</t>
  </si>
  <si>
    <t>ورق آلومینیوم باربند کابین عقب</t>
  </si>
  <si>
    <t>پایه وینچ پرتابل سپر عقب</t>
  </si>
  <si>
    <t>002084</t>
  </si>
  <si>
    <t>003070</t>
  </si>
  <si>
    <t>رنو ساندرو</t>
  </si>
  <si>
    <t>کیت افزایش ارتفاع بدنه 2/5سانت</t>
  </si>
  <si>
    <t>کیت افزایش ارتفاع بدنه 5سانت</t>
  </si>
  <si>
    <t xml:space="preserve"> باربند فلت وانت تک کابین </t>
  </si>
  <si>
    <t xml:space="preserve">باربند لبه کوتاه (5/5 سانتی) وانت تک کابین </t>
  </si>
  <si>
    <t xml:space="preserve"> باربند لبه بلند ( 9/5 سانتی) وانت تک کابین </t>
  </si>
  <si>
    <t>ورق آلومینیوم آج دار فلت کشو (پکیج کامل )</t>
  </si>
  <si>
    <t>کشو تک فلزی سری 70 ارتفاع بلند (29 سانتی متری)</t>
  </si>
  <si>
    <t>کشو تک فلزی سری 70 ارتفاع کوتاه (21 سانتی متری)</t>
  </si>
  <si>
    <t>کشو تک چوبی سری 70 ارتفاع بلند (29 سانتی متری)</t>
  </si>
  <si>
    <t>کشو تک چوبی سری 70 ارتفاع کوتاه (21 سانتی متری)</t>
  </si>
  <si>
    <t>کشو تک فلزی سری 80 ارتفاع بلند (29 سانتی متری)</t>
  </si>
  <si>
    <t>کشو تک چوبی سری 80 ارتفاع بلند (29 سانتی متری)</t>
  </si>
  <si>
    <t>کشو تک فلزی سری 80 ارتفاع کوتاه (21 سانتی متری)</t>
  </si>
  <si>
    <t>کشو تک چوبی سری 80 ارتفاع کوتاه (21 سانتی متری)</t>
  </si>
  <si>
    <t>کشو تک فلزی سری 100 ارتفاع بلند (29 سانتی متری)</t>
  </si>
  <si>
    <t>کشو تک فلزی سری 100 ارتفاع کوتاه (21 سانتی متری)</t>
  </si>
  <si>
    <t>کشو تک چوبی سری 100 ارتفاع بلند (29 سانتی متری)</t>
  </si>
  <si>
    <t>کشو تک چوبی سری 100 ارتفاع کوتاه (21 سانتی متری)</t>
  </si>
  <si>
    <t>کشو تک فلزی سری 140 ارتفاع بلند (29 سانتی متری)</t>
  </si>
  <si>
    <t>کشو تک فلزی سری 140 ارتفاع کوتاه (21 سانتی متری)</t>
  </si>
  <si>
    <t>کشو تک چوبی سری 140 ارتفاع بلند (29 سانتی متری)</t>
  </si>
  <si>
    <t>کشو تک چوبی سری 140 ارتفاع کوتاه (21 سانتی متری)</t>
  </si>
  <si>
    <t>کشو تک فلزی سری 125 ارتفاع بلند (29 سانتی متری)</t>
  </si>
  <si>
    <t>کشو تک چوبی سری 125 ارتفاع بلند (29 سانتی متری)</t>
  </si>
  <si>
    <t>کشو تک فلزی سری 130 ارتفاع بلند (29 سانتی متری)</t>
  </si>
  <si>
    <t>کشو تک فلزی سری 130 ارتفاع کوتاه (21 سانتی متری)</t>
  </si>
  <si>
    <t>کشو تک چوبی سری 130 ارتفاع بلند (29 سانتی متری)</t>
  </si>
  <si>
    <t>کشو تک چوبی سری 130 ارتفاع کوتاه (21 سانتی متری)</t>
  </si>
  <si>
    <t>کشو سری 50 سانتی‌متری (پرادویی) ارتفاع بلند (29 سانتی متری) تک فلزی</t>
  </si>
  <si>
    <t>کشو سری 50 سانتی‌متری (پرادویی) ارتفاع بلند (29 سانتی متری) تک عرض 40 فلزی</t>
  </si>
  <si>
    <t>کشو سری 50 سانتی‌متری (پرادویی) ارتفاع بلند (29 سانتی متری) تک چوبی</t>
  </si>
  <si>
    <t>کشو سری 50 سانتی‌متری (پرادویی) ارتفاع بلند (29 سانتی متری) تک عرض 40 چوبی</t>
  </si>
  <si>
    <t>باربند سقفی لبه کوتاه (5/5 سانتی) سانروف دار</t>
  </si>
  <si>
    <t>باربند سقفی لبه بلند (9/5 سانتی) سانروف دار</t>
  </si>
  <si>
    <t>باربند نیم فلت سقفی با لبه بلند (9/5سانتی) در قسمت جلو</t>
  </si>
  <si>
    <t>باربند نیم فلت سقفی با لبه کوتاه (5/5 سانتی) در قسمت جلو</t>
  </si>
  <si>
    <t>باربند سقفی لبه کوتاه (5/5 سانتی) سانروف دار-فاقد سوراخ</t>
  </si>
  <si>
    <t>باربند سقفی لبه بلند (9/5 سانتی) سانروف دار-فاقد سوراخ</t>
  </si>
  <si>
    <t>باربند لبه کوتاه (5/5 سانتی) روی بار</t>
  </si>
  <si>
    <t>باربند لبه بلند (9/5 سانتی) روی بار</t>
  </si>
  <si>
    <t>باربند لبه کوتاه (5/5 سانتی) روی کنوپی</t>
  </si>
  <si>
    <t>باربند لبه بلند (9/5 سانتی) روی کنوپی</t>
  </si>
  <si>
    <t>باریند لبه بلند (9/5 سانتی) کابین عقب</t>
  </si>
  <si>
    <t>باربند لبه کوتاه (5/5 سانتی) کابین عقب</t>
  </si>
  <si>
    <t>تویوتا لندکروزر 70 تک کابین</t>
  </si>
  <si>
    <t>تویوتا لندکروزر 100 شش سیلندر</t>
  </si>
  <si>
    <t>تویوتا لندکروزر 100 هشت سیلندر</t>
  </si>
  <si>
    <t>151301</t>
  </si>
  <si>
    <t>922512</t>
  </si>
  <si>
    <t>کشو تک فلزی سری 125 ارتفاع کوتاه (21 سانتی متری)</t>
  </si>
  <si>
    <t>912512</t>
  </si>
  <si>
    <t>کشو تک چوبی سری 125 ارتفاع کوتاه (21 سانتی متری)</t>
  </si>
  <si>
    <t>تویوتا پرادو</t>
  </si>
  <si>
    <t>مخزن آب و بنزین</t>
  </si>
  <si>
    <t>100661</t>
  </si>
  <si>
    <t>100174</t>
  </si>
  <si>
    <t>003071</t>
  </si>
  <si>
    <t>154442</t>
  </si>
  <si>
    <t>120474</t>
  </si>
  <si>
    <t>تویوتا هایلوکس ویگو 11-2007</t>
  </si>
  <si>
    <t>تویوتا هایلوکس ویگو 15-2012</t>
  </si>
  <si>
    <t>باربند سقفی لبه کوتاه (5/5 سانتی)</t>
  </si>
  <si>
    <t>باربند سقفی لبه بلند (9/5 سانتی)</t>
  </si>
  <si>
    <t>باربند سقفی فلت- فاقد سوراخ</t>
  </si>
  <si>
    <t>باربند سقفی لبه کوتاه (5/5 سانتی)-فاقد سوراخ</t>
  </si>
  <si>
    <t>باربند سقفی لبه بلند (9/5 سانتی)-فاقد سوراخ</t>
  </si>
  <si>
    <t>108661</t>
  </si>
  <si>
    <t xml:space="preserve"> سپر عقب دو محور جفت زاپاس بند</t>
  </si>
  <si>
    <t>107223</t>
  </si>
  <si>
    <t>225501</t>
  </si>
  <si>
    <t>992004</t>
  </si>
  <si>
    <t>ناودانی نصب کشو</t>
  </si>
  <si>
    <t>پایه نصب کشو فاقد سوراخ</t>
  </si>
  <si>
    <t>کشو عرض 60 سری 100 ارتفاع کوتاه (21 سانتی متری) تک چوبی</t>
  </si>
  <si>
    <t>کانکتور تبدیل مالبند چهارپیچ تقویت شده به توبار</t>
  </si>
  <si>
    <t>G</t>
  </si>
  <si>
    <t>گارانتی</t>
  </si>
  <si>
    <t>کانکتور تبدیل مال بند چهارپیچ به توبار</t>
  </si>
  <si>
    <t>کانکتور تبدیل مال بند توبار به چهارپیچ</t>
  </si>
  <si>
    <t>پایه پرژکتور روی کاپوت</t>
  </si>
  <si>
    <t>درب کشو چوبی ارتفاع کوتاه</t>
  </si>
  <si>
    <t>991003</t>
  </si>
  <si>
    <t>درب کشو چوبی ارتفاع بلند</t>
  </si>
  <si>
    <t>991004</t>
  </si>
  <si>
    <t>کاور یخچال TB41</t>
  </si>
  <si>
    <t>کاور یخچال TB51</t>
  </si>
  <si>
    <t>003063</t>
  </si>
  <si>
    <t>003064</t>
  </si>
  <si>
    <t>کشو فلزی پاژن وانت دو کابین</t>
  </si>
  <si>
    <t>کشو چوبی پاژن وانت دو کابین</t>
  </si>
  <si>
    <t>پایه فارم جک باربند لبه بلند</t>
  </si>
  <si>
    <t>پایه فارم جک باربند لبه کوتاه</t>
  </si>
  <si>
    <t>پایه فارم جک روی کنوپی</t>
  </si>
  <si>
    <t>پایه فارم جک روی سپر</t>
  </si>
  <si>
    <t xml:space="preserve">کیت ارتفاع فابریک فنر عقب </t>
  </si>
  <si>
    <t>کاپرا دو (تک کابین)</t>
  </si>
  <si>
    <t>کاپرا دو (دوکابین)</t>
  </si>
  <si>
    <t>ورق آلومینیوم باربند سانروف دار</t>
  </si>
  <si>
    <t>ورق آلومینیوم باربند</t>
  </si>
  <si>
    <t>پایه زمرد روی دیفرانسل</t>
  </si>
  <si>
    <t>سپر عقب تک محور با بازویی زاپاس بند و گالن و جک هایلیفت</t>
  </si>
  <si>
    <t>201218</t>
  </si>
  <si>
    <t>کشو چوبی پاژن استیشن</t>
  </si>
  <si>
    <t>کشو فلزی پاژن استیشن</t>
  </si>
  <si>
    <t>912811</t>
  </si>
  <si>
    <t>922811</t>
  </si>
  <si>
    <t>سپر عقب تک محور- با بازویی زاپاس بند و فارم جک</t>
  </si>
  <si>
    <t>سپر عقب تک محور- با بازویی زاپاس بند و گالن و فارم جک</t>
  </si>
  <si>
    <t>بازویی زاپاس بند و فارم جک</t>
  </si>
  <si>
    <t>بازویی نردبان و فارم جک</t>
  </si>
  <si>
    <t>بازویی گالن بند و فارم جک</t>
  </si>
  <si>
    <t>پایه میله پرچم (آنتن)</t>
  </si>
  <si>
    <t>مخزن آب گالوانیزه فضای بار</t>
  </si>
  <si>
    <t>پایه تبر لبه استاندارد</t>
  </si>
  <si>
    <t>پایه تبر لبه کوتاه</t>
  </si>
  <si>
    <t>پایه بیل لبه استاندارد</t>
  </si>
  <si>
    <t>پایه بیل لبه کوتاه</t>
  </si>
  <si>
    <t>یدک کش (135*200) طرح A</t>
  </si>
  <si>
    <t>یدک کش (135*245) طرح B</t>
  </si>
  <si>
    <t>توری (گیریل) آتش دان</t>
  </si>
  <si>
    <t>انبر آتش دان</t>
  </si>
  <si>
    <t>لگنی آتش دان</t>
  </si>
  <si>
    <t>بدنه آتش دان</t>
  </si>
  <si>
    <t>004011</t>
  </si>
  <si>
    <t>004013</t>
  </si>
  <si>
    <t>004015</t>
  </si>
  <si>
    <t>550403</t>
  </si>
  <si>
    <t>باربند فلت روی سوپر لید</t>
  </si>
  <si>
    <t>باربند لبه کوتاه (5/5 سانتی) روی سوپر لید</t>
  </si>
  <si>
    <t>باربند لبه بلند (9/5 سانتی) روی سوپر لید</t>
  </si>
  <si>
    <t>زاپاس بند روی باربند</t>
  </si>
  <si>
    <t>003032</t>
  </si>
  <si>
    <t>پایه وینچ سپر فابریک</t>
  </si>
  <si>
    <t>004017</t>
  </si>
  <si>
    <t>گارد لوله ای کامل سپر جلو</t>
  </si>
  <si>
    <t>نیم گارد لوله ای سپر جلو</t>
  </si>
  <si>
    <t>کینگ لینگ تاگا</t>
  </si>
  <si>
    <t>کینگ لینگ تاگا H</t>
  </si>
  <si>
    <t>اتوبوس</t>
  </si>
  <si>
    <t>رویه کشو سری 50 سانتی متری فلزی</t>
  </si>
  <si>
    <t xml:space="preserve">رویه کشو سری 50 سانتی متری چوبی </t>
  </si>
  <si>
    <t>991005</t>
  </si>
  <si>
    <t>991006</t>
  </si>
  <si>
    <t>C</t>
  </si>
  <si>
    <t>خرید تهران</t>
  </si>
  <si>
    <t>سپر عقب دو محور - بازویی زاپاس بند و گالن بند</t>
  </si>
  <si>
    <t xml:space="preserve">نیسان رونیز </t>
  </si>
  <si>
    <t>مکس موتور کلوت</t>
  </si>
  <si>
    <t>کشو عرض 40 سری 100 ارتفاع کوتاه (21 سانتی متری) تک فلزی</t>
  </si>
  <si>
    <t>کشو عرض 40 سری 100 ارتفاع بلند (29 سانتی متری) تک فلزی</t>
  </si>
  <si>
    <t>کشو تک فلزی سری 90 ارتفاع بلند (29 سانتی متری)</t>
  </si>
  <si>
    <t>کشو تک فلزی سری 90 ارتفاع کوتاه (21 سانتی متری)</t>
  </si>
  <si>
    <t>کشو تک چوبی سری 90 ارتفاع بلند (29 سانتی متری)</t>
  </si>
  <si>
    <t>کشو تک چوبی سری 90 ارتفاع کوتاه (21 سانتی متری)</t>
  </si>
  <si>
    <t>300g</t>
  </si>
  <si>
    <t xml:space="preserve">پایه فارم جک باربند لبه بلند </t>
  </si>
  <si>
    <t>201901</t>
  </si>
  <si>
    <t>100g</t>
  </si>
  <si>
    <t xml:space="preserve">کشو عرض 40 سری 100 ارتفاع کوتاه (21 سانتی متری) تک فلزی </t>
  </si>
  <si>
    <t>922515</t>
  </si>
  <si>
    <t xml:space="preserve">کشو عرض 40 سری 100 ارتفاع بلند (29 سانتی متری) تک فلزی </t>
  </si>
  <si>
    <t>922516</t>
  </si>
  <si>
    <t>911509</t>
  </si>
  <si>
    <t>ون inroads</t>
  </si>
  <si>
    <t xml:space="preserve">دیوایدر T شکل </t>
  </si>
  <si>
    <t>752405</t>
  </si>
  <si>
    <t xml:space="preserve">گونیا بغل کشو طرح جدید </t>
  </si>
  <si>
    <t xml:space="preserve">باربند نیم فلت سقفی با لبه بلند (9/5سانتی) در قسمت جلو </t>
  </si>
  <si>
    <t>550407</t>
  </si>
  <si>
    <t xml:space="preserve">یواز پاتریوت </t>
  </si>
  <si>
    <t>ون Inroads</t>
  </si>
  <si>
    <t>116407</t>
  </si>
  <si>
    <t xml:space="preserve">تویوتا لندکروزر 100 شش سیلندر </t>
  </si>
  <si>
    <t xml:space="preserve">پایه کمپرسور تک سیلندر </t>
  </si>
  <si>
    <t xml:space="preserve">پایه کمپرسور دو سیلندر </t>
  </si>
  <si>
    <t>003041</t>
  </si>
  <si>
    <t xml:space="preserve">میز اکسترنال استاندارد </t>
  </si>
  <si>
    <t>میز اکسترنال روی کشو عرض 40</t>
  </si>
  <si>
    <t>میز اکسترنال روی کشو 50</t>
  </si>
  <si>
    <t>004018</t>
  </si>
  <si>
    <t>004019</t>
  </si>
  <si>
    <t>004020</t>
  </si>
  <si>
    <t>70/5</t>
  </si>
  <si>
    <t>214403</t>
  </si>
  <si>
    <t xml:space="preserve">نیسان پاترول 4درب </t>
  </si>
  <si>
    <t>214408</t>
  </si>
  <si>
    <t>37/7</t>
  </si>
  <si>
    <t>240301</t>
  </si>
  <si>
    <t>47/5</t>
  </si>
  <si>
    <t xml:space="preserve">مکس موتور کلوت </t>
  </si>
  <si>
    <t>تویوتا پرادو 150</t>
  </si>
  <si>
    <t>تویوتا پرادو 120</t>
  </si>
  <si>
    <t>001155</t>
  </si>
  <si>
    <t>دیوایدر Tشکل</t>
  </si>
  <si>
    <t>11/7</t>
  </si>
  <si>
    <t>میز اکسترنال استاندارد روی درب کشو</t>
  </si>
  <si>
    <t>میز اکسترنال روی درب کشو 50</t>
  </si>
  <si>
    <t>117403</t>
  </si>
  <si>
    <t>38/9</t>
  </si>
  <si>
    <t>200g</t>
  </si>
  <si>
    <t xml:space="preserve">پایه کشو دوبل </t>
  </si>
  <si>
    <t>500421</t>
  </si>
  <si>
    <t xml:space="preserve">آمیکو آسنا </t>
  </si>
  <si>
    <t>85/5</t>
  </si>
  <si>
    <t xml:space="preserve">کنوپی فلزی </t>
  </si>
  <si>
    <t>154922</t>
  </si>
  <si>
    <t xml:space="preserve">تویوتا پرادو </t>
  </si>
  <si>
    <t>تویوتا لندکروزر 100</t>
  </si>
  <si>
    <t xml:space="preserve">تویوتا هایلوکس ویگو </t>
  </si>
  <si>
    <t xml:space="preserve">نیسان پاترول </t>
  </si>
  <si>
    <t xml:space="preserve">نیسان پیکاپ </t>
  </si>
  <si>
    <t xml:space="preserve">کاپرا دو </t>
  </si>
  <si>
    <t xml:space="preserve">پاژن </t>
  </si>
  <si>
    <t>65/7</t>
  </si>
  <si>
    <t>540421</t>
  </si>
  <si>
    <t>72/7</t>
  </si>
  <si>
    <t>51/4</t>
  </si>
  <si>
    <t>31/8</t>
  </si>
  <si>
    <t>35/5</t>
  </si>
  <si>
    <t>28/9</t>
  </si>
  <si>
    <t>32/2</t>
  </si>
  <si>
    <t>39/5</t>
  </si>
  <si>
    <t>22/8</t>
  </si>
  <si>
    <t>37/4</t>
  </si>
  <si>
    <t>33/8</t>
  </si>
  <si>
    <t>34/2</t>
  </si>
  <si>
    <t>30/5</t>
  </si>
  <si>
    <t>30/8</t>
  </si>
  <si>
    <t>21/7</t>
  </si>
  <si>
    <t>15/5</t>
  </si>
  <si>
    <t>700g</t>
  </si>
  <si>
    <t xml:space="preserve">کیت ارتفاع عقب 6سانت </t>
  </si>
  <si>
    <t>161746</t>
  </si>
  <si>
    <t>540746</t>
  </si>
  <si>
    <t xml:space="preserve">کیت ارتفاع عقب 4سانت </t>
  </si>
  <si>
    <t>161744</t>
  </si>
  <si>
    <t xml:space="preserve">فلت روی کشو چوبی 50 سمت راننده </t>
  </si>
  <si>
    <t>فلت روی کشو چوبی 50 سمت شاگرد</t>
  </si>
  <si>
    <t xml:space="preserve">فلت روی کشو فلزی 50 سمت راننده </t>
  </si>
  <si>
    <t>فلت روی کشو  فلزی  50 سمت شاگرد</t>
  </si>
  <si>
    <t xml:space="preserve">فلت روی کشو چوبی 70 سمت راننده </t>
  </si>
  <si>
    <t>فلت روی کشو چوبی 70 سمت شاگرد</t>
  </si>
  <si>
    <t xml:space="preserve">فلت روی کشو فلزی 70 سمت راننده </t>
  </si>
  <si>
    <t>فلت روی کشو  فلزی  70 سمت شاگرد</t>
  </si>
  <si>
    <t xml:space="preserve">فلت روی کشو چوبی 80 سمت راننده </t>
  </si>
  <si>
    <t>فلت روی کشو چوبی 80 سمت شاگرد</t>
  </si>
  <si>
    <t xml:space="preserve">فلت روی کشو فلزی 80 سمت راننده </t>
  </si>
  <si>
    <t>فلت روی کشو  فلزی  80 سمت شاگرد</t>
  </si>
  <si>
    <t xml:space="preserve">فلت روی کشو چوبی 100 سمت راننده </t>
  </si>
  <si>
    <t>فلت روی کشو چوبی 100 سمت شاگرد</t>
  </si>
  <si>
    <t xml:space="preserve">فلت روی کشو فلزی 100 سمت راننده </t>
  </si>
  <si>
    <t>فلت روی کشو  فلزی  100 سمت شاگرد</t>
  </si>
  <si>
    <t xml:space="preserve">فلت روی کشو چوبی 140 سمت راننده </t>
  </si>
  <si>
    <t>فلت روی کشو چوبی 140 سمت شاگرد</t>
  </si>
  <si>
    <t xml:space="preserve">فلت روی کشو فلزی 140 سمت راننده </t>
  </si>
  <si>
    <t>فلت روی کشو  فلزی  140 سمت شاگرد</t>
  </si>
  <si>
    <t xml:space="preserve">فلت روی کشو چوبی 130 سمت راننده </t>
  </si>
  <si>
    <t>فلت روی کشو چوبی 130 سمت شاگرد</t>
  </si>
  <si>
    <t xml:space="preserve">فلت روی کشو فلزی 130 سمت راننده </t>
  </si>
  <si>
    <t>فلت روی کشو  فلزی  130 سمت شاگرد</t>
  </si>
  <si>
    <t xml:space="preserve">فلت روی کشو چوبی 125 سمت راننده </t>
  </si>
  <si>
    <t>فلت روی کشو چوبی 125 سمت شاگرد</t>
  </si>
  <si>
    <t xml:space="preserve">فلت روی کشو فلزی 125 سمت راننده </t>
  </si>
  <si>
    <t>فلت روی کشو  فلزی  125 سمت شاگرد</t>
  </si>
  <si>
    <t xml:space="preserve">فلت جلو کشو چوبی ارتفاع 21 سمت راننده </t>
  </si>
  <si>
    <t>فلت جلو کشو چوبی ارتفاع 21 سمت شاگرد</t>
  </si>
  <si>
    <t>فلت جلو کشو چوبی ارتفاع 29 سمت شاگرد</t>
  </si>
  <si>
    <t xml:space="preserve">فلت جلو کشو چوبی ارتفاع 29 سمت راننده </t>
  </si>
  <si>
    <t xml:space="preserve">فلت جلو کشو فلزی ارتفاع 21 سمت راننده </t>
  </si>
  <si>
    <t>فلت جلو کشو فلزی ارتفاع 21 سمت شاگرد</t>
  </si>
  <si>
    <t>فلت جلو کشو فلزی ارتفاع 29 سمت شاگرد</t>
  </si>
  <si>
    <t xml:space="preserve">فلت جلو کشو فلزی ارتفاع 29 سمت راننده </t>
  </si>
  <si>
    <t xml:space="preserve">گارد لوله ای کامل سپر جلو </t>
  </si>
  <si>
    <t>106192</t>
  </si>
  <si>
    <t>اف جی 60</t>
  </si>
  <si>
    <t>ریل یخچال متوسط(سفارشی)</t>
  </si>
  <si>
    <t>001002011789</t>
  </si>
  <si>
    <t>540423</t>
  </si>
  <si>
    <t>کنوپی استاندارد</t>
  </si>
  <si>
    <t>کنوپی کوتاه</t>
  </si>
  <si>
    <t xml:space="preserve">محافظ یخچال 35 لیتری </t>
  </si>
  <si>
    <t>001135</t>
  </si>
  <si>
    <t>600g</t>
  </si>
  <si>
    <t>911408</t>
  </si>
  <si>
    <t>کشو عرض 40 سری 80 سانتی‌متری ارتفاع بلند (29 سانتی متری) تک فلزی</t>
  </si>
  <si>
    <t>کشو عرض 40 سری 80 سانتی‌متری ارتفاع بلند (29 سانتی متری) تک چوبی</t>
  </si>
  <si>
    <t>کشو عرض 40 سری 80 سانتی‌متری ارتفاع کوتاه (21 سانتی متری) تک چوبی</t>
  </si>
  <si>
    <t xml:space="preserve">محمد نوری </t>
  </si>
  <si>
    <t>میلاد احمری نژاد</t>
  </si>
  <si>
    <t xml:space="preserve">استند اکسسوری </t>
  </si>
  <si>
    <t>006027</t>
  </si>
  <si>
    <t>مشکی چرمی مات</t>
  </si>
  <si>
    <t>ایسوزو NQR</t>
  </si>
  <si>
    <t>G1</t>
  </si>
  <si>
    <t>G01</t>
  </si>
  <si>
    <t>G2</t>
  </si>
  <si>
    <t>G02</t>
  </si>
  <si>
    <t>G3</t>
  </si>
  <si>
    <t>G03</t>
  </si>
  <si>
    <t>G4</t>
  </si>
  <si>
    <t>G04</t>
  </si>
  <si>
    <t>G5</t>
  </si>
  <si>
    <t>G05</t>
  </si>
  <si>
    <t>G6</t>
  </si>
  <si>
    <t>G06</t>
  </si>
  <si>
    <t>G7</t>
  </si>
  <si>
    <t>G07</t>
  </si>
  <si>
    <t>G8</t>
  </si>
  <si>
    <t>G08</t>
  </si>
  <si>
    <t>G9</t>
  </si>
  <si>
    <t>G09</t>
  </si>
  <si>
    <t>G10</t>
  </si>
  <si>
    <t>باربند 115*140  لبه 9/5 سانت</t>
  </si>
  <si>
    <t xml:space="preserve">باربند 115*140  لبه 5/5 سانت </t>
  </si>
  <si>
    <t>باربند 115*140  فلت</t>
  </si>
  <si>
    <t>باربند 110*200  لبه 9/5 سانت</t>
  </si>
  <si>
    <t xml:space="preserve">باربند 110*200  لبه 5/5 سانت </t>
  </si>
  <si>
    <t>باربند 110*200  فلت</t>
  </si>
  <si>
    <t>باربند 120*162  لبه 9/5 سانتی</t>
  </si>
  <si>
    <t xml:space="preserve">باربند 120*162  لبه 5/5 سانتی </t>
  </si>
  <si>
    <t xml:space="preserve">باربند 120*162  فلت </t>
  </si>
  <si>
    <t>گروه 1</t>
  </si>
  <si>
    <t>گروه 2</t>
  </si>
  <si>
    <t>گروه 3</t>
  </si>
  <si>
    <t>گروه 4</t>
  </si>
  <si>
    <t>گروه 5</t>
  </si>
  <si>
    <t>گروه 6</t>
  </si>
  <si>
    <t>گروه 7</t>
  </si>
  <si>
    <t>گروه 8</t>
  </si>
  <si>
    <t>گروه 9</t>
  </si>
  <si>
    <t>گروه 10</t>
  </si>
  <si>
    <t>خاور 608</t>
  </si>
  <si>
    <t>کامیونت هیوندای</t>
  </si>
  <si>
    <t>14011529</t>
  </si>
  <si>
    <t>14011525</t>
  </si>
  <si>
    <t>14011520</t>
  </si>
  <si>
    <t>20011029</t>
  </si>
  <si>
    <t>20011025</t>
  </si>
  <si>
    <t>20011020</t>
  </si>
  <si>
    <t>16212029</t>
  </si>
  <si>
    <t>16212025</t>
  </si>
  <si>
    <t>16212020</t>
  </si>
  <si>
    <t>003200</t>
  </si>
  <si>
    <t>003230</t>
  </si>
  <si>
    <t>003250</t>
  </si>
  <si>
    <t>شاسی برف روب</t>
  </si>
  <si>
    <t>003810</t>
  </si>
  <si>
    <t>003813</t>
  </si>
  <si>
    <t>003815</t>
  </si>
  <si>
    <t>003818</t>
  </si>
  <si>
    <t>ساپورت برف روب</t>
  </si>
  <si>
    <t>کنوپی استاندارد طرح 2</t>
  </si>
  <si>
    <t>کنوپی استاندارد طرح 3</t>
  </si>
  <si>
    <t>کشو سری 50 سانتی‌متری (پرادویی) ارتفاع کوتاه (21 سانتی متری) تک فلزی</t>
  </si>
  <si>
    <t>کشو سری 50 سانتی‌متری (پرادویی) ارتفاع کوتاه (21 سانتی متری) تک چوبی</t>
  </si>
  <si>
    <t>922505</t>
  </si>
  <si>
    <t>912505</t>
  </si>
  <si>
    <t>ریل یخچال 40</t>
  </si>
  <si>
    <t>ریل یخچال 50</t>
  </si>
  <si>
    <t>ریل یخچال 75</t>
  </si>
  <si>
    <t xml:space="preserve">ویگو، ریوو، آمیکو، جک، پرادو 120، فوتون، کلوت، اف جی کروزر </t>
  </si>
  <si>
    <t>ویگو، ریوو، آمیکو، جک، پرادو 120، فوتون، کلوت، فورچونر</t>
  </si>
  <si>
    <t xml:space="preserve">ویگو، ریوو، آمیکو، جک، فوتون، کلوت، اف جی کروزر </t>
  </si>
  <si>
    <t xml:space="preserve">پرادو 120-2درب ، پرادو 120-4درب، پرادو 150-2درب، پرادو 150-4درب، اف جی کروزر </t>
  </si>
  <si>
    <t>لندکروزر 100 شش سیلندر، لندکروزر 100 هشت سیلندر، لندکروزر 105، لندکروزر 200</t>
  </si>
  <si>
    <t xml:space="preserve">پرادو 120-2درب ، پرادو 120-4درب، پرادو 150-2درب، پرادو 150-4درب </t>
  </si>
  <si>
    <t>سری 60، 62، 70، سری 40/2F</t>
  </si>
  <si>
    <t>لندکروزر 80، لندکروزر 100 شش سیلندر، لندکروزر 100 هشت سیلندر</t>
  </si>
  <si>
    <t xml:space="preserve">سرانزا، پیکاپ، رونیز </t>
  </si>
  <si>
    <t>پیکاپ تک کابین، پیکاپ دو کابین، سرانزا، پیکاپ ریچ</t>
  </si>
  <si>
    <t xml:space="preserve">سرانزا، پیکاپ </t>
  </si>
  <si>
    <t xml:space="preserve">پاترول 2درب، پاترول 4درب </t>
  </si>
  <si>
    <t>پرادو 120، ویگو، ریوو، اف جی کروزر، فورچونر</t>
  </si>
  <si>
    <t>ویگو، پرادو 120، فورچونر</t>
  </si>
  <si>
    <t xml:space="preserve">پرادو 120، اف جی کروزر </t>
  </si>
  <si>
    <t xml:space="preserve">پاژن دوکابین، پاژن دیزلی </t>
  </si>
  <si>
    <t>گروه 11</t>
  </si>
  <si>
    <t>گروه 12</t>
  </si>
  <si>
    <t>گروه 13</t>
  </si>
  <si>
    <t>گروه 14</t>
  </si>
  <si>
    <t>گروه 15</t>
  </si>
  <si>
    <t>گروه 16</t>
  </si>
  <si>
    <t>G13</t>
  </si>
  <si>
    <t>G14</t>
  </si>
  <si>
    <t>G11</t>
  </si>
  <si>
    <t>G12</t>
  </si>
  <si>
    <t>G15</t>
  </si>
  <si>
    <t>G16</t>
  </si>
  <si>
    <t>سپر عقب طرح 2</t>
  </si>
  <si>
    <t>سینی درب عقب</t>
  </si>
  <si>
    <t xml:space="preserve">قفسه بندی فضای بار </t>
  </si>
  <si>
    <t>کشو فلزی سری 125 ارتفاع 29 Heavy duty</t>
  </si>
  <si>
    <t>Column12</t>
  </si>
  <si>
    <t>540503</t>
  </si>
  <si>
    <t>821512</t>
  </si>
  <si>
    <t>540323</t>
  </si>
  <si>
    <t>540393</t>
  </si>
  <si>
    <t>540324</t>
  </si>
  <si>
    <t>540394</t>
  </si>
  <si>
    <t>540632</t>
  </si>
  <si>
    <t>10</t>
  </si>
  <si>
    <t>11</t>
  </si>
  <si>
    <t>12</t>
  </si>
  <si>
    <t>13</t>
  </si>
  <si>
    <t>540650</t>
  </si>
  <si>
    <t>مشکی-9005</t>
  </si>
  <si>
    <t>مشکی سمباده ای-887</t>
  </si>
  <si>
    <t>طوسی براق-7024</t>
  </si>
  <si>
    <t>کرم براق-9001</t>
  </si>
  <si>
    <t>نقره ای متالیک-9006</t>
  </si>
  <si>
    <t>زرد براق-1028</t>
  </si>
  <si>
    <t>سفید براق-9016</t>
  </si>
  <si>
    <t>قرمز براق-3020</t>
  </si>
  <si>
    <t>طوسی سمباده ای-7015</t>
  </si>
  <si>
    <t>طوسی سمباده ای مات-311</t>
  </si>
  <si>
    <t>آبی براق-5005</t>
  </si>
  <si>
    <t>آبی براق-5002</t>
  </si>
  <si>
    <t>کرم براق -1013</t>
  </si>
  <si>
    <t>طوسی-7043</t>
  </si>
  <si>
    <t>201403</t>
  </si>
  <si>
    <t>912514</t>
  </si>
  <si>
    <t>912508</t>
  </si>
  <si>
    <t>رویه چوبی\پیچ و مهره و یراق آلات.pdf</t>
  </si>
  <si>
    <t>پیچ و مهره و یراق آلات</t>
  </si>
  <si>
    <t>نقشه لیزر</t>
  </si>
  <si>
    <t>نقشه مونتاژ</t>
  </si>
  <si>
    <t>نقشه خم</t>
  </si>
  <si>
    <t>برش چوب</t>
  </si>
  <si>
    <t>رویه چوبی\0107-lasercut.pdf</t>
  </si>
  <si>
    <t>رویه چوبی\0107-assembly.pdf</t>
  </si>
  <si>
    <t>رویه چوبی\0107-bending.pdf</t>
  </si>
  <si>
    <t>رویه چوبی\0107-woodcut.pdf</t>
  </si>
  <si>
    <t>زمان رنگ آمیزی</t>
  </si>
  <si>
    <t>زمان بسته بندی</t>
  </si>
  <si>
    <t>نقشه های مهندسی</t>
  </si>
  <si>
    <t>820*510</t>
  </si>
  <si>
    <t>911508</t>
  </si>
  <si>
    <t>911511</t>
  </si>
  <si>
    <t>921508</t>
  </si>
  <si>
    <t>برش</t>
  </si>
  <si>
    <t>0/8 mm</t>
  </si>
  <si>
    <t>1 mm</t>
  </si>
  <si>
    <t>1.5 mm روغنی</t>
  </si>
  <si>
    <t>1.5 mm گالوانیزه</t>
  </si>
  <si>
    <t>2 mm</t>
  </si>
  <si>
    <t>3 mm</t>
  </si>
  <si>
    <t>4 mm</t>
  </si>
  <si>
    <t>5 mm</t>
  </si>
  <si>
    <t>6 mm</t>
  </si>
  <si>
    <t>510*1045</t>
  </si>
  <si>
    <t>row</t>
  </si>
  <si>
    <t>A/2/10</t>
  </si>
  <si>
    <t>A/2/11</t>
  </si>
  <si>
    <t>A/2/12</t>
  </si>
  <si>
    <t>A/2/13</t>
  </si>
  <si>
    <t>A/1/20</t>
  </si>
  <si>
    <r>
      <t xml:space="preserve">موقعیت نقشه ها </t>
    </r>
    <r>
      <rPr>
        <b/>
        <sz val="11"/>
        <color rgb="FFFF0000"/>
        <rFont val="B Nazanin"/>
        <charset val="178"/>
      </rPr>
      <t>قفسه</t>
    </r>
    <r>
      <rPr>
        <b/>
        <sz val="11"/>
        <color theme="1"/>
        <rFont val="B Nazanin"/>
        <charset val="178"/>
      </rPr>
      <t>/</t>
    </r>
    <r>
      <rPr>
        <b/>
        <sz val="11"/>
        <color rgb="FF00B050"/>
        <rFont val="B Nazanin"/>
        <charset val="178"/>
      </rPr>
      <t>زونکن</t>
    </r>
    <r>
      <rPr>
        <b/>
        <sz val="11"/>
        <color theme="1"/>
        <rFont val="B Nazanin"/>
        <charset val="178"/>
      </rPr>
      <t>/</t>
    </r>
    <r>
      <rPr>
        <b/>
        <sz val="11"/>
        <color theme="9" tint="-0.499984740745262"/>
        <rFont val="B Nazanin"/>
        <charset val="178"/>
      </rPr>
      <t>دیوایدر</t>
    </r>
  </si>
  <si>
    <t>ویرایش</t>
  </si>
  <si>
    <t>حذف</t>
  </si>
  <si>
    <t>کد سفارش</t>
  </si>
  <si>
    <t>کد کالا</t>
  </si>
  <si>
    <t>نام کالا</t>
  </si>
  <si>
    <t>عادل تبریزی</t>
  </si>
  <si>
    <t>تلفن مشتری</t>
  </si>
  <si>
    <t>آدرس مشتری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</si>
</sst>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_-* #,##0\-;_-* &quot;-&quot;_-;_-@_-"/>
    <numFmt numFmtId="165" formatCode="[$-3020429]General"/>
  </numFmts>
  <fonts count="29" x14ac:knownFonts="1">
    <font>
      <sz val="11"/>
      <color theme="1"/>
      <name val="Arial"/>
      <family val="2"/>
      <scheme val="minor"/>
    </font>
    <font>
      <b/>
      <sz val="11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sz val="11"/>
      <color rgb="FF000000"/>
      <name val="B Nazanin"/>
      <charset val="178"/>
    </font>
    <font>
      <sz val="11"/>
      <color theme="1"/>
      <name val="Arial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Arial"/>
      <family val="2"/>
      <scheme val="minor"/>
    </font>
    <font>
      <sz val="10"/>
      <color theme="1"/>
      <name val="B Nazanin"/>
      <charset val="178"/>
    </font>
    <font>
      <b/>
      <sz val="12"/>
      <color theme="1"/>
      <name val="Times New Roman"/>
      <family val="1"/>
    </font>
    <font>
      <sz val="10.5"/>
      <color theme="1"/>
      <name val="B Nazanin"/>
      <charset val="178"/>
    </font>
    <font>
      <sz val="11"/>
      <color theme="1"/>
      <name val="B Nazanin"/>
      <charset val="178"/>
    </font>
    <font>
      <sz val="11"/>
      <color rgb="FF000000"/>
      <name val="B Nazanin"/>
      <charset val="178"/>
    </font>
    <font>
      <sz val="11"/>
      <color rgb="FF000000"/>
      <name val="B Nazanin"/>
      <charset val="178"/>
    </font>
    <font>
      <b/>
      <sz val="11"/>
      <color rgb="FFFF0000"/>
      <name val="B Nazanin"/>
      <charset val="178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1"/>
      <name val="B Nazanin"/>
      <charset val="178"/>
    </font>
    <font>
      <b/>
      <sz val="11"/>
      <name val="B Nazanin"/>
      <charset val="178"/>
    </font>
    <font>
      <sz val="9"/>
      <color rgb="FF000000"/>
      <name val="B Nazanin"/>
      <charset val="178"/>
    </font>
    <font>
      <u/>
      <sz val="11"/>
      <color theme="10"/>
      <name val="Arial"/>
      <family val="2"/>
      <scheme val="minor"/>
    </font>
    <font>
      <sz val="11"/>
      <color rgb="FFFF0000"/>
      <name val="B Nazanin"/>
      <charset val="178"/>
    </font>
    <font>
      <sz val="11"/>
      <color rgb="FFFF0000"/>
      <name val="Arial"/>
      <family val="2"/>
      <scheme val="minor"/>
    </font>
    <font>
      <b/>
      <sz val="11"/>
      <color rgb="FF00B050"/>
      <name val="B Nazanin"/>
      <charset val="178"/>
    </font>
    <font>
      <b/>
      <sz val="11"/>
      <color theme="9" tint="-0.499984740745262"/>
      <name val="B Nazanin"/>
      <charset val="178"/>
    </font>
    <font>
      <sz val="12"/>
      <color rgb="FF000000"/>
      <name val="B Nazanin"/>
      <charset val="178"/>
    </font>
    <font>
      <sz val="12"/>
      <color theme="1"/>
      <name val="B Nazanin"/>
      <charset val="178"/>
    </font>
    <font>
      <b/>
      <sz val="12"/>
      <color theme="4" tint="-0.249977111117893"/>
      <name val="B Nazanin"/>
      <charset val="178"/>
    </font>
  </fonts>
  <fills count="8">
    <fill>
      <patternFill patternType="none"/>
    </fill>
    <fill>
      <patternFill patternType="gray125"/>
    </fill>
    <fill>
      <patternFill patternType="none">
        <fgColor rgb="FF000000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</borders>
  <cellStyleXfs count="5">
    <xf numFmtId="0" fontId="0" fillId="0" borderId="0"/>
    <xf numFmtId="0" fontId="5" fillId="2" borderId="0"/>
    <xf numFmtId="0" fontId="5" fillId="2" borderId="0"/>
    <xf numFmtId="41" fontId="5" fillId="0" borderId="0" applyFont="0" applyFill="0" applyBorder="0" applyAlignment="0" applyProtection="0"/>
    <xf numFmtId="0" fontId="21" fillId="0" borderId="0" applyNumberFormat="0" applyFill="0" applyBorder="0" applyAlignment="0" applyProtection="0"/>
  </cellStyleXfs>
  <cellXfs count="131">
    <xf numFmtId="0" fontId="0" fillId="0" borderId="0" xfId="0"/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right"/>
    </xf>
    <xf numFmtId="0" fontId="0" fillId="0" borderId="0" xfId="0" applyAlignment="1">
      <alignment horizontal="center"/>
    </xf>
    <xf numFmtId="165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right" vertical="center" wrapText="1"/>
    </xf>
    <xf numFmtId="0" fontId="10" fillId="0" borderId="1" xfId="0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right" vertical="center"/>
    </xf>
    <xf numFmtId="46" fontId="10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41" fontId="3" fillId="0" borderId="1" xfId="3" applyFont="1" applyFill="1" applyBorder="1" applyAlignment="1">
      <alignment horizontal="center" vertical="center" wrapText="1" readingOrder="2"/>
    </xf>
    <xf numFmtId="41" fontId="3" fillId="0" borderId="1" xfId="3" applyFont="1" applyFill="1" applyBorder="1" applyAlignment="1">
      <alignment horizontal="center" vertical="center"/>
    </xf>
    <xf numFmtId="0" fontId="3" fillId="0" borderId="1" xfId="0" applyFont="1" applyBorder="1" applyAlignment="1">
      <alignment wrapText="1"/>
    </xf>
    <xf numFmtId="41" fontId="3" fillId="0" borderId="1" xfId="3" quotePrefix="1" applyFont="1" applyFill="1" applyBorder="1" applyAlignment="1">
      <alignment horizontal="center" vertical="center"/>
    </xf>
    <xf numFmtId="0" fontId="3" fillId="0" borderId="1" xfId="3" applyNumberFormat="1" applyFont="1" applyFill="1" applyBorder="1" applyAlignment="1">
      <alignment horizontal="center" vertical="center" wrapText="1"/>
    </xf>
    <xf numFmtId="41" fontId="3" fillId="0" borderId="1" xfId="3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center" vertical="center"/>
    </xf>
    <xf numFmtId="0" fontId="11" fillId="0" borderId="1" xfId="0" applyFont="1" applyBorder="1"/>
    <xf numFmtId="0" fontId="10" fillId="0" borderId="1" xfId="0" applyFont="1" applyBorder="1" applyAlignment="1">
      <alignment horizontal="center" vertical="center" readingOrder="1"/>
    </xf>
    <xf numFmtId="0" fontId="9" fillId="0" borderId="1" xfId="0" applyFont="1" applyBorder="1" applyAlignment="1">
      <alignment wrapText="1"/>
    </xf>
    <xf numFmtId="0" fontId="10" fillId="0" borderId="1" xfId="0" applyFont="1" applyBorder="1" applyAlignment="1">
      <alignment horizontal="center" vertical="center" wrapText="1" readingOrder="1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right" readingOrder="2"/>
    </xf>
    <xf numFmtId="0" fontId="3" fillId="0" borderId="1" xfId="0" applyFont="1" applyBorder="1" applyAlignment="1">
      <alignment horizontal="right" wrapText="1" readingOrder="2"/>
    </xf>
    <xf numFmtId="0" fontId="3" fillId="0" borderId="1" xfId="3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right" vertical="center"/>
    </xf>
    <xf numFmtId="0" fontId="0" fillId="0" borderId="1" xfId="0" quotePrefix="1" applyBorder="1" applyAlignment="1">
      <alignment horizontal="center" vertical="center"/>
    </xf>
    <xf numFmtId="0" fontId="3" fillId="0" borderId="1" xfId="0" applyFont="1" applyBorder="1" applyAlignment="1">
      <alignment horizontal="right" vertical="center" wrapText="1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right" vertical="center" readingOrder="2"/>
    </xf>
    <xf numFmtId="0" fontId="3" fillId="0" borderId="1" xfId="0" applyFont="1" applyBorder="1" applyAlignment="1">
      <alignment horizontal="right" vertical="center" wrapText="1" readingOrder="2"/>
    </xf>
    <xf numFmtId="49" fontId="10" fillId="0" borderId="1" xfId="0" applyNumberFormat="1" applyFont="1" applyBorder="1" applyAlignment="1">
      <alignment horizontal="center" vertical="center" readingOrder="1"/>
    </xf>
    <xf numFmtId="0" fontId="0" fillId="0" borderId="1" xfId="0" applyBorder="1" applyAlignment="1">
      <alignment horizontal="right"/>
    </xf>
    <xf numFmtId="49" fontId="10" fillId="0" borderId="1" xfId="0" applyNumberFormat="1" applyFont="1" applyBorder="1" applyAlignment="1">
      <alignment horizontal="center" vertical="center"/>
    </xf>
    <xf numFmtId="165" fontId="3" fillId="0" borderId="4" xfId="0" applyNumberFormat="1" applyFont="1" applyBorder="1" applyAlignment="1">
      <alignment horizontal="center" vertical="center"/>
    </xf>
    <xf numFmtId="165" fontId="3" fillId="0" borderId="4" xfId="0" applyNumberFormat="1" applyFont="1" applyBorder="1" applyAlignment="1">
      <alignment horizontal="right" vertical="center" wrapText="1"/>
    </xf>
    <xf numFmtId="0" fontId="10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21" fontId="10" fillId="0" borderId="1" xfId="0" applyNumberFormat="1" applyFont="1" applyBorder="1" applyAlignment="1">
      <alignment horizontal="center" vertical="center"/>
    </xf>
    <xf numFmtId="0" fontId="3" fillId="3" borderId="1" xfId="3" applyNumberFormat="1" applyFont="1" applyFill="1" applyBorder="1" applyAlignment="1">
      <alignment horizontal="center" vertical="center"/>
    </xf>
    <xf numFmtId="46" fontId="10" fillId="3" borderId="1" xfId="0" applyNumberFormat="1" applyFont="1" applyFill="1" applyBorder="1" applyAlignment="1">
      <alignment horizontal="center" vertical="center"/>
    </xf>
    <xf numFmtId="21" fontId="10" fillId="0" borderId="4" xfId="0" applyNumberFormat="1" applyFont="1" applyBorder="1" applyAlignment="1">
      <alignment horizontal="center" vertical="center"/>
    </xf>
    <xf numFmtId="21" fontId="10" fillId="3" borderId="1" xfId="0" applyNumberFormat="1" applyFont="1" applyFill="1" applyBorder="1" applyAlignment="1">
      <alignment horizontal="center" vertical="center"/>
    </xf>
    <xf numFmtId="46" fontId="10" fillId="5" borderId="1" xfId="0" applyNumberFormat="1" applyFont="1" applyFill="1" applyBorder="1" applyAlignment="1">
      <alignment horizontal="center" vertical="center"/>
    </xf>
    <xf numFmtId="0" fontId="3" fillId="4" borderId="1" xfId="3" applyNumberFormat="1" applyFont="1" applyFill="1" applyBorder="1" applyAlignment="1">
      <alignment horizontal="center" vertical="center"/>
    </xf>
    <xf numFmtId="46" fontId="10" fillId="4" borderId="1" xfId="0" applyNumberFormat="1" applyFont="1" applyFill="1" applyBorder="1" applyAlignment="1">
      <alignment horizontal="center" vertical="center"/>
    </xf>
    <xf numFmtId="41" fontId="3" fillId="0" borderId="1" xfId="3" applyFont="1" applyFill="1" applyBorder="1" applyAlignment="1">
      <alignment vertical="center" wrapText="1"/>
    </xf>
    <xf numFmtId="49" fontId="3" fillId="0" borderId="1" xfId="3" applyNumberFormat="1" applyFont="1" applyFill="1" applyBorder="1" applyAlignment="1">
      <alignment horizontal="center" vertical="center"/>
    </xf>
    <xf numFmtId="0" fontId="4" fillId="0" borderId="3" xfId="1" applyFont="1" applyFill="1" applyBorder="1" applyAlignment="1">
      <alignment horizontal="right" vertical="center" wrapText="1" readingOrder="2"/>
    </xf>
    <xf numFmtId="0" fontId="3" fillId="0" borderId="2" xfId="1" applyFont="1" applyFill="1" applyBorder="1" applyAlignment="1">
      <alignment horizontal="center" vertical="center" wrapText="1" readingOrder="1"/>
    </xf>
    <xf numFmtId="0" fontId="4" fillId="0" borderId="1" xfId="1" applyFont="1" applyFill="1" applyBorder="1" applyAlignment="1">
      <alignment horizontal="right" vertical="center" wrapText="1" readingOrder="2"/>
    </xf>
    <xf numFmtId="0" fontId="2" fillId="0" borderId="18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 wrapText="1"/>
    </xf>
    <xf numFmtId="46" fontId="2" fillId="0" borderId="18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46" fontId="0" fillId="0" borderId="0" xfId="0" applyNumberFormat="1"/>
    <xf numFmtId="0" fontId="0" fillId="0" borderId="0" xfId="0" applyAlignment="1">
      <alignment horizontal="center" vertical="center"/>
    </xf>
    <xf numFmtId="0" fontId="2" fillId="0" borderId="13" xfId="1" applyFont="1" applyFill="1" applyBorder="1" applyAlignment="1">
      <alignment horizontal="center" vertical="center" wrapText="1" readingOrder="2"/>
    </xf>
    <xf numFmtId="0" fontId="3" fillId="0" borderId="9" xfId="1" applyFont="1" applyFill="1" applyBorder="1" applyAlignment="1">
      <alignment horizontal="center" vertical="center" wrapText="1" readingOrder="2"/>
    </xf>
    <xf numFmtId="0" fontId="1" fillId="0" borderId="4" xfId="1" applyFont="1" applyFill="1" applyBorder="1" applyAlignment="1">
      <alignment horizontal="center" vertical="center" wrapText="1" readingOrder="2"/>
    </xf>
    <xf numFmtId="0" fontId="1" fillId="0" borderId="16" xfId="1" applyFont="1" applyFill="1" applyBorder="1" applyAlignment="1">
      <alignment horizontal="center" vertical="center" wrapText="1" readingOrder="2"/>
    </xf>
    <xf numFmtId="0" fontId="1" fillId="0" borderId="15" xfId="1" applyFont="1" applyFill="1" applyBorder="1" applyAlignment="1">
      <alignment horizontal="center" vertical="center" wrapText="1" readingOrder="2"/>
    </xf>
    <xf numFmtId="0" fontId="1" fillId="0" borderId="16" xfId="1" applyFont="1" applyFill="1" applyBorder="1" applyAlignment="1">
      <alignment horizontal="center" vertical="center" wrapText="1" readingOrder="1"/>
    </xf>
    <xf numFmtId="0" fontId="3" fillId="0" borderId="7" xfId="1" applyFont="1" applyFill="1" applyBorder="1" applyAlignment="1">
      <alignment horizontal="center" vertical="center" wrapText="1" readingOrder="2"/>
    </xf>
    <xf numFmtId="0" fontId="2" fillId="0" borderId="1" xfId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2" xfId="1" applyFont="1" applyFill="1" applyBorder="1" applyAlignment="1">
      <alignment horizontal="center" vertical="center" wrapText="1" readingOrder="2"/>
    </xf>
    <xf numFmtId="0" fontId="4" fillId="0" borderId="1" xfId="1" applyFont="1" applyFill="1" applyBorder="1" applyAlignment="1">
      <alignment horizontal="center" vertical="center" wrapText="1" readingOrder="2"/>
    </xf>
    <xf numFmtId="0" fontId="4" fillId="0" borderId="2" xfId="1" applyFont="1" applyFill="1" applyBorder="1" applyAlignment="1">
      <alignment horizontal="center" vertical="center" wrapText="1" readingOrder="2"/>
    </xf>
    <xf numFmtId="0" fontId="3" fillId="0" borderId="1" xfId="1" applyFont="1" applyFill="1" applyBorder="1" applyAlignment="1">
      <alignment horizontal="center" vertical="center" wrapText="1" readingOrder="1"/>
    </xf>
    <xf numFmtId="0" fontId="3" fillId="0" borderId="1" xfId="1" applyFont="1" applyFill="1" applyBorder="1" applyAlignment="1">
      <alignment horizontal="right" vertical="center" wrapText="1"/>
    </xf>
    <xf numFmtId="49" fontId="3" fillId="0" borderId="1" xfId="1" applyNumberFormat="1" applyFont="1" applyFill="1" applyBorder="1" applyAlignment="1">
      <alignment horizontal="center" vertical="center" wrapText="1" readingOrder="1"/>
    </xf>
    <xf numFmtId="0" fontId="3" fillId="0" borderId="0" xfId="0" applyFont="1" applyAlignment="1">
      <alignment vertical="center"/>
    </xf>
    <xf numFmtId="0" fontId="15" fillId="0" borderId="12" xfId="1" applyFont="1" applyFill="1" applyBorder="1" applyAlignment="1">
      <alignment horizontal="center" vertical="center" wrapText="1" readingOrder="2"/>
    </xf>
    <xf numFmtId="0" fontId="18" fillId="0" borderId="1" xfId="1" applyFont="1" applyFill="1" applyBorder="1" applyAlignment="1">
      <alignment horizontal="center" vertical="center" wrapText="1" readingOrder="2"/>
    </xf>
    <xf numFmtId="49" fontId="3" fillId="0" borderId="2" xfId="1" applyNumberFormat="1" applyFont="1" applyFill="1" applyBorder="1" applyAlignment="1">
      <alignment horizontal="center" vertical="center" wrapText="1" readingOrder="1"/>
    </xf>
    <xf numFmtId="0" fontId="19" fillId="0" borderId="12" xfId="1" applyFont="1" applyFill="1" applyBorder="1" applyAlignment="1">
      <alignment horizontal="center" vertical="center" wrapText="1" readingOrder="2"/>
    </xf>
    <xf numFmtId="0" fontId="3" fillId="0" borderId="0" xfId="1" applyFont="1" applyFill="1" applyAlignment="1">
      <alignment vertical="center"/>
    </xf>
    <xf numFmtId="0" fontId="3" fillId="0" borderId="1" xfId="1" applyFont="1" applyFill="1" applyBorder="1" applyAlignment="1">
      <alignment horizontal="center" vertical="center" wrapText="1"/>
    </xf>
    <xf numFmtId="0" fontId="14" fillId="0" borderId="2" xfId="1" applyFont="1" applyFill="1" applyBorder="1" applyAlignment="1">
      <alignment horizontal="center" vertical="center" wrapText="1" readingOrder="2"/>
    </xf>
    <xf numFmtId="0" fontId="14" fillId="0" borderId="1" xfId="1" applyFont="1" applyFill="1" applyBorder="1" applyAlignment="1">
      <alignment horizontal="center" vertical="center" wrapText="1" readingOrder="2"/>
    </xf>
    <xf numFmtId="49" fontId="12" fillId="0" borderId="2" xfId="1" applyNumberFormat="1" applyFont="1" applyFill="1" applyBorder="1" applyAlignment="1">
      <alignment horizontal="center" vertical="center" wrapText="1" readingOrder="1"/>
    </xf>
    <xf numFmtId="0" fontId="3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 readingOrder="2"/>
    </xf>
    <xf numFmtId="0" fontId="3" fillId="0" borderId="10" xfId="1" applyFont="1" applyFill="1" applyBorder="1" applyAlignment="1">
      <alignment horizontal="center" vertical="center" wrapText="1" readingOrder="2"/>
    </xf>
    <xf numFmtId="49" fontId="4" fillId="0" borderId="1" xfId="1" applyNumberFormat="1" applyFont="1" applyFill="1" applyBorder="1" applyAlignment="1">
      <alignment horizontal="center" vertical="center" wrapText="1" readingOrder="2"/>
    </xf>
    <xf numFmtId="0" fontId="3" fillId="0" borderId="1" xfId="1" applyFont="1" applyFill="1" applyBorder="1" applyAlignment="1">
      <alignment horizontal="right" vertical="center" wrapText="1" readingOrder="2"/>
    </xf>
    <xf numFmtId="0" fontId="3" fillId="0" borderId="11" xfId="1" applyFont="1" applyFill="1" applyBorder="1" applyAlignment="1">
      <alignment horizontal="center" vertical="center" wrapText="1" readingOrder="2"/>
    </xf>
    <xf numFmtId="0" fontId="3" fillId="0" borderId="6" xfId="1" applyFont="1" applyFill="1" applyBorder="1" applyAlignment="1">
      <alignment horizontal="center" vertical="center" wrapText="1" readingOrder="2"/>
    </xf>
    <xf numFmtId="0" fontId="2" fillId="0" borderId="14" xfId="1" applyFont="1" applyFill="1" applyBorder="1" applyAlignment="1">
      <alignment horizontal="center" vertical="center" wrapText="1" readingOrder="2"/>
    </xf>
    <xf numFmtId="0" fontId="3" fillId="0" borderId="0" xfId="1" applyFont="1" applyFill="1" applyAlignment="1">
      <alignment horizontal="center" vertical="center" wrapText="1" readingOrder="2"/>
    </xf>
    <xf numFmtId="0" fontId="4" fillId="0" borderId="5" xfId="1" applyFont="1" applyFill="1" applyBorder="1" applyAlignment="1">
      <alignment horizontal="right" vertical="center" wrapText="1" readingOrder="2"/>
    </xf>
    <xf numFmtId="49" fontId="3" fillId="0" borderId="5" xfId="1" applyNumberFormat="1" applyFont="1" applyFill="1" applyBorder="1" applyAlignment="1">
      <alignment horizontal="center" vertical="center" wrapText="1" readingOrder="1"/>
    </xf>
    <xf numFmtId="0" fontId="13" fillId="0" borderId="1" xfId="1" applyFont="1" applyFill="1" applyBorder="1" applyAlignment="1">
      <alignment horizontal="center" vertical="center" wrapText="1" readingOrder="2"/>
    </xf>
    <xf numFmtId="0" fontId="13" fillId="0" borderId="2" xfId="1" applyFont="1" applyFill="1" applyBorder="1" applyAlignment="1">
      <alignment horizontal="center" vertical="center" wrapText="1" readingOrder="2"/>
    </xf>
    <xf numFmtId="0" fontId="3" fillId="0" borderId="8" xfId="1" applyFont="1" applyFill="1" applyBorder="1" applyAlignment="1">
      <alignment horizontal="center" vertical="center" wrapText="1" readingOrder="2"/>
    </xf>
    <xf numFmtId="0" fontId="4" fillId="0" borderId="3" xfId="1" applyFont="1" applyFill="1" applyBorder="1" applyAlignment="1">
      <alignment horizontal="center" vertical="center" wrapText="1" readingOrder="2"/>
    </xf>
    <xf numFmtId="0" fontId="4" fillId="0" borderId="12" xfId="1" applyFont="1" applyFill="1" applyBorder="1" applyAlignment="1">
      <alignment horizontal="center" vertical="center" wrapText="1" readingOrder="2"/>
    </xf>
    <xf numFmtId="49" fontId="3" fillId="0" borderId="17" xfId="1" applyNumberFormat="1" applyFont="1" applyFill="1" applyBorder="1" applyAlignment="1">
      <alignment horizontal="center" vertical="center" wrapText="1" readingOrder="1"/>
    </xf>
    <xf numFmtId="0" fontId="4" fillId="0" borderId="5" xfId="1" applyFont="1" applyFill="1" applyBorder="1" applyAlignment="1">
      <alignment horizontal="center" vertical="center" wrapText="1" readingOrder="2"/>
    </xf>
    <xf numFmtId="0" fontId="13" fillId="0" borderId="17" xfId="1" applyFont="1" applyFill="1" applyBorder="1" applyAlignment="1">
      <alignment horizontal="center" vertical="center" wrapText="1" readingOrder="2"/>
    </xf>
    <xf numFmtId="0" fontId="4" fillId="0" borderId="17" xfId="1" applyFont="1" applyFill="1" applyBorder="1" applyAlignment="1">
      <alignment horizontal="center" vertical="center" wrapText="1" readingOrder="2"/>
    </xf>
    <xf numFmtId="0" fontId="3" fillId="0" borderId="8" xfId="1" applyFont="1" applyFill="1" applyBorder="1" applyAlignment="1">
      <alignment horizontal="right" vertical="center" wrapText="1" readingOrder="2"/>
    </xf>
    <xf numFmtId="0" fontId="3" fillId="0" borderId="6" xfId="1" applyFont="1" applyFill="1" applyBorder="1" applyAlignment="1">
      <alignment horizontal="right" vertical="center" wrapText="1" readingOrder="2"/>
    </xf>
    <xf numFmtId="0" fontId="3" fillId="0" borderId="0" xfId="0" applyFont="1" applyAlignment="1">
      <alignment horizontal="right" vertical="center"/>
    </xf>
    <xf numFmtId="165" fontId="21" fillId="0" borderId="4" xfId="4" applyNumberFormat="1" applyFill="1" applyBorder="1" applyAlignment="1">
      <alignment horizontal="center" vertical="center" shrinkToFit="1"/>
    </xf>
    <xf numFmtId="0" fontId="2" fillId="6" borderId="18" xfId="0" applyFont="1" applyFill="1" applyBorder="1" applyAlignment="1">
      <alignment horizontal="center" vertical="center" wrapText="1"/>
    </xf>
    <xf numFmtId="49" fontId="10" fillId="3" borderId="1" xfId="0" applyNumberFormat="1" applyFont="1" applyFill="1" applyBorder="1" applyAlignment="1">
      <alignment horizontal="center" vertical="center" readingOrder="1"/>
    </xf>
    <xf numFmtId="0" fontId="3" fillId="3" borderId="1" xfId="0" applyFont="1" applyFill="1" applyBorder="1"/>
    <xf numFmtId="0" fontId="10" fillId="3" borderId="1" xfId="0" applyFont="1" applyFill="1" applyBorder="1" applyAlignment="1">
      <alignment horizontal="center" vertical="center" readingOrder="1"/>
    </xf>
    <xf numFmtId="0" fontId="10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vertical="center" wrapText="1"/>
    </xf>
    <xf numFmtId="165" fontId="3" fillId="0" borderId="4" xfId="0" applyNumberFormat="1" applyFont="1" applyBorder="1" applyAlignment="1">
      <alignment horizontal="center" vertical="center" shrinkToFit="1"/>
    </xf>
    <xf numFmtId="165" fontId="22" fillId="0" borderId="1" xfId="0" applyNumberFormat="1" applyFont="1" applyBorder="1" applyAlignment="1">
      <alignment horizontal="center" vertical="center"/>
    </xf>
    <xf numFmtId="0" fontId="22" fillId="0" borderId="1" xfId="3" applyNumberFormat="1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4" fillId="7" borderId="19" xfId="0" applyFont="1" applyFill="1" applyBorder="1" applyAlignment="1" applyProtection="1">
      <alignment horizontal="center" vertical="center" readingOrder="2"/>
      <protection locked="0"/>
    </xf>
    <xf numFmtId="49" fontId="4" fillId="7" borderId="19" xfId="0" applyNumberFormat="1" applyFont="1" applyFill="1" applyBorder="1" applyAlignment="1" applyProtection="1">
      <alignment horizontal="center" vertical="center" readingOrder="2"/>
      <protection locked="0"/>
    </xf>
    <xf numFmtId="0" fontId="20" fillId="7" borderId="19" xfId="0" applyFont="1" applyFill="1" applyBorder="1" applyAlignment="1" applyProtection="1">
      <alignment horizontal="center" vertical="center" readingOrder="1"/>
      <protection locked="0"/>
    </xf>
    <xf numFmtId="0" fontId="20" fillId="7" borderId="19" xfId="0" applyFont="1" applyFill="1" applyBorder="1" applyAlignment="1" applyProtection="1">
      <alignment horizontal="center" vertical="center" readingOrder="2"/>
      <protection locked="0"/>
    </xf>
    <xf numFmtId="0" fontId="4" fillId="7" borderId="19" xfId="0" applyFont="1" applyFill="1" applyBorder="1" applyAlignment="1" applyProtection="1">
      <alignment horizontal="center" vertical="center" wrapText="1" readingOrder="2"/>
      <protection locked="0"/>
    </xf>
    <xf numFmtId="0" fontId="3" fillId="0" borderId="0" xfId="0" applyFont="1"/>
    <xf numFmtId="0" fontId="26" fillId="7" borderId="19" xfId="0" applyFont="1" applyFill="1" applyBorder="1" applyAlignment="1" applyProtection="1">
      <alignment horizontal="center" vertical="center" readingOrder="2"/>
      <protection locked="0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0" fillId="0" borderId="13" xfId="0" applyBorder="1" applyAlignment="1">
      <alignment horizontal="center"/>
    </xf>
    <xf numFmtId="0" fontId="3" fillId="0" borderId="1" xfId="0" applyFont="1" applyBorder="1" applyAlignment="1">
      <alignment horizontal="right" vertical="center" wrapText="1"/>
    </xf>
    <xf numFmtId="0" fontId="3" fillId="0" borderId="1" xfId="0" applyFont="1" applyBorder="1" applyAlignment="1">
      <alignment horizontal="right" vertical="center"/>
    </xf>
  </cellXfs>
  <cellStyles count="5">
    <cellStyle name="Comma [0]" xfId="3" builtinId="6"/>
    <cellStyle name="Hyperlink" xfId="4" builtinId="8"/>
    <cellStyle name="Normal" xfId="0" builtinId="0"/>
    <cellStyle name="Normal 2" xfId="1"/>
    <cellStyle name="Normal 3" xfId="2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1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 Nazanin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2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medium">
          <color rgb="FFCCCCCC"/>
        </bottom>
      </border>
    </dxf>
    <dxf>
      <fill>
        <patternFill patternType="none">
          <bgColor auto="1"/>
        </patternFill>
      </fill>
    </dxf>
    <dxf>
      <border outline="0">
        <bottom style="thin">
          <color auto="1"/>
        </bottom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 Nazanin"/>
        <scheme val="none"/>
      </font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 Nazani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 Nazani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 Nazani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B Nazani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C000"/>
      </font>
    </dxf>
    <dxf>
      <font>
        <b/>
        <i val="0"/>
        <color theme="4" tint="-0.499984740745262"/>
      </font>
    </dxf>
    <dxf>
      <font>
        <b/>
        <i val="0"/>
        <color rgb="FFFFC000"/>
      </font>
    </dxf>
    <dxf>
      <font>
        <b/>
        <i val="0"/>
        <color theme="4" tint="-0.499984740745262"/>
      </font>
    </dxf>
    <dxf>
      <font>
        <b/>
        <i val="0"/>
        <color rgb="FFFFC000"/>
      </font>
    </dxf>
    <dxf>
      <font>
        <b/>
        <i val="0"/>
        <color theme="4" tint="-0.49998474074526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C000"/>
      </font>
    </dxf>
    <dxf>
      <font>
        <b/>
        <i val="0"/>
        <color theme="4" tint="-0.499984740745262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323E1A"/>
      <color rgb="FFFF3399"/>
      <color rgb="FFFF0066"/>
      <color rgb="FF808000"/>
      <color rgb="FFFF9999"/>
      <color rgb="FFFF66FF"/>
      <color rgb="FF66FFCC"/>
      <color rgb="FFFFFF66"/>
      <color rgb="FF167416"/>
      <color rgb="FF99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0</xdr:row>
      <xdr:rowOff>152400</xdr:rowOff>
    </xdr:from>
    <xdr:to>
      <xdr:col>16</xdr:col>
      <xdr:colOff>885825</xdr:colOff>
      <xdr:row>4</xdr:row>
      <xdr:rowOff>85725</xdr:rowOff>
    </xdr:to>
    <xdr:sp macro="[0]!frmproductshow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225183925" y="152400"/>
          <a:ext cx="10668000" cy="885825"/>
        </a:xfrm>
        <a:prstGeom prst="roundRect">
          <a:avLst>
            <a:gd name="adj" fmla="val 10395"/>
          </a:avLst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fa-IR" sz="1100"/>
        </a:p>
      </xdr:txBody>
    </xdr:sp>
    <xdr:clientData/>
  </xdr:twoCellAnchor>
  <xdr:twoCellAnchor>
    <xdr:from>
      <xdr:col>0</xdr:col>
      <xdr:colOff>685799</xdr:colOff>
      <xdr:row>3</xdr:row>
      <xdr:rowOff>28575</xdr:rowOff>
    </xdr:from>
    <xdr:to>
      <xdr:col>2</xdr:col>
      <xdr:colOff>371474</xdr:colOff>
      <xdr:row>4</xdr:row>
      <xdr:rowOff>47625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1234928001" y="742950"/>
          <a:ext cx="91440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algn="ctr" rtl="1"/>
          <a:r>
            <a:rPr lang="fa-IR" sz="1000" b="1" baseline="0">
              <a:solidFill>
                <a:srgbClr val="323E1A"/>
              </a:solidFill>
              <a:cs typeface="B Nazanin" panose="00000400000000000000" pitchFamily="2" charset="-78"/>
            </a:rPr>
            <a:t>سفار ش جدید</a:t>
          </a:r>
          <a:endParaRPr lang="fa-IR" sz="1000" b="1">
            <a:solidFill>
              <a:srgbClr val="323E1A"/>
            </a:solidFill>
            <a:cs typeface="B Nazanin" panose="00000400000000000000" pitchFamily="2" charset="-78"/>
          </a:endParaRPr>
        </a:p>
      </xdr:txBody>
    </xdr:sp>
    <xdr:clientData/>
  </xdr:twoCellAnchor>
  <xdr:twoCellAnchor>
    <xdr:from>
      <xdr:col>1</xdr:col>
      <xdr:colOff>133350</xdr:colOff>
      <xdr:row>1</xdr:row>
      <xdr:rowOff>28574</xdr:rowOff>
    </xdr:from>
    <xdr:to>
      <xdr:col>2</xdr:col>
      <xdr:colOff>95250</xdr:colOff>
      <xdr:row>3</xdr:row>
      <xdr:rowOff>57149</xdr:rowOff>
    </xdr:to>
    <xdr:sp macro="" textlink="">
      <xdr:nvSpPr>
        <xdr:cNvPr id="3" name="Plu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235204225" y="266699"/>
          <a:ext cx="504825" cy="504825"/>
        </a:xfrm>
        <a:prstGeom prst="mathPlus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endParaRPr lang="fa-IR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pro_15" displayName="pro_15" ref="D1:E189" totalsRowShown="0" headerRowDxfId="17" dataDxfId="15" headerRowBorderDxfId="16" tableBorderDxfId="14" totalsRowBorderDxfId="13" headerRowCellStyle="Normal 2" dataCellStyle="Normal 2">
  <autoFilter ref="D1:E189"/>
  <tableColumns count="2">
    <tableColumn id="1" name="شرح محصول" dataDxfId="12" dataCellStyle="Normal 2"/>
    <tableColumn id="4" name="کد" dataDxfId="11" dataCellStyle="Normal 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5" name="Table1216" displayName="Table1216" ref="J33:L42" totalsRowShown="0" headerRowDxfId="10" dataDxfId="9">
  <autoFilter ref="J33:L42"/>
  <tableColumns count="3">
    <tableColumn id="1" name="Column1" dataDxfId="8"/>
    <tableColumn id="3" name="Column12" dataDxfId="7"/>
    <tableColumn id="2" name="Column2" dataDxfId="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G1:H168" totalsRowShown="0" headerRowDxfId="5" dataDxfId="3" headerRowBorderDxfId="4" tableBorderDxfId="2">
  <autoFilter ref="G1:H168"/>
  <tableColumns count="2">
    <tableColumn id="1" name="شرح محصول" dataDxfId="1" dataCellStyle="Normal 2"/>
    <tableColumn id="2" name="کد" dataDxfId="0" dataCellStyle="Normal 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hyperlink" Target="../../seydi/AppData/Roaming/Microsoft/Excel/&#1585;&#1608;&#1740;&#1607;%20&#1670;&#1608;&#1576;&#1740;/0107-assembly.pdf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../../seydi/AppData/Roaming/Microsoft/Excel/&#1585;&#1608;&#1740;&#1607;%20&#1670;&#1608;&#1576;&#1740;/0107-lasercut.pdf" TargetMode="External"/><Relationship Id="rId1" Type="http://schemas.openxmlformats.org/officeDocument/2006/relationships/hyperlink" Target="../../seydi/AppData/Roaming/Microsoft/Excel/&#1585;&#1608;&#1740;&#1607;%20&#1670;&#1608;&#1576;&#1740;/&#1662;&#1740;&#1670;%20&#1608;%20&#1605;&#1607;&#1585;&#1607;%20&#1608;%20&#1740;&#1585;&#1575;&#1602;%20&#1570;&#1604;&#1575;&#1578;.pdf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../../seydi/AppData/Roaming/Microsoft/Excel/&#1585;&#1608;&#1740;&#1607;%20&#1670;&#1608;&#1576;&#1740;/0107-woodcut.pdf" TargetMode="External"/><Relationship Id="rId4" Type="http://schemas.openxmlformats.org/officeDocument/2006/relationships/hyperlink" Target="../../seydi/AppData/Roaming/Microsoft/Excel/&#1585;&#1608;&#1740;&#1607;%20&#1670;&#1608;&#1576;&#1740;/0107-bending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6:Q998"/>
  <sheetViews>
    <sheetView showGridLines="0" rightToLeft="1" tabSelected="1" workbookViewId="0">
      <selection activeCell="D13" sqref="D13"/>
    </sheetView>
  </sheetViews>
  <sheetFormatPr defaultColWidth="9" defaultRowHeight="18.75" x14ac:dyDescent="0.45"/>
  <cols>
    <col min="1" max="1" width="9" style="124"/>
    <col min="2" max="2" width="7.125" style="126" customWidth="1"/>
    <col min="3" max="3" width="7" style="67" customWidth="1"/>
    <col min="4" max="4" width="9" style="67"/>
    <col min="5" max="5" width="6.5" style="67" customWidth="1"/>
    <col min="6" max="6" width="5.375" style="67" customWidth="1"/>
    <col min="7" max="10" width="9" style="67"/>
    <col min="11" max="11" width="6.875" style="67" customWidth="1"/>
    <col min="12" max="12" width="9" style="67"/>
    <col min="13" max="13" width="13.125" style="67" customWidth="1"/>
    <col min="14" max="15" width="9" style="67"/>
    <col min="16" max="16" width="19.25" style="67" customWidth="1"/>
    <col min="17" max="17" width="11.75" style="67" customWidth="1"/>
    <col min="18" max="16384" width="9" style="124"/>
  </cols>
  <sheetData>
    <row r="6" spans="2:17" ht="36.75" thickBot="1" x14ac:dyDescent="0.5">
      <c r="B6" s="125" t="s">
        <v>1506</v>
      </c>
      <c r="C6" s="119" t="s">
        <v>1507</v>
      </c>
      <c r="D6" s="119" t="s">
        <v>1508</v>
      </c>
      <c r="E6" s="119" t="s">
        <v>49</v>
      </c>
      <c r="F6" s="120" t="s">
        <v>184</v>
      </c>
      <c r="G6" s="119" t="s">
        <v>53</v>
      </c>
      <c r="H6" s="121" t="s">
        <v>1509</v>
      </c>
      <c r="I6" s="122" t="s">
        <v>1510</v>
      </c>
      <c r="J6" s="119" t="s">
        <v>183</v>
      </c>
      <c r="K6" s="123" t="s">
        <v>322</v>
      </c>
      <c r="L6" s="119" t="s">
        <v>46</v>
      </c>
      <c r="M6" s="119" t="s">
        <v>1</v>
      </c>
      <c r="N6" s="119" t="s">
        <v>2</v>
      </c>
      <c r="O6" s="119" t="s">
        <v>1512</v>
      </c>
      <c r="P6" s="123" t="s">
        <v>1513</v>
      </c>
      <c r="Q6" s="119" t="s">
        <v>187</v>
      </c>
    </row>
    <row r="7" spans="2:17" x14ac:dyDescent="0.45">
      <c r="B7" s="126" t="str">
        <f>IF(ISNUMBER(D7),"...","")</f>
        <v>...</v>
      </c>
      <c r="C7" s="118" t="str">
        <f>IF(ISNUMBER(D7),"x","")</f>
        <v>x</v>
      </c>
      <c r="D7" s="67">
        <v>250</v>
      </c>
    </row>
    <row r="8" spans="2:17" ht="21" x14ac:dyDescent="0.45">
      <c r="B8" s="127" t="str">
        <f t="shared" ref="B8:B69" si="0">IF(ISNUMBER(D8),"...","")</f>
        <v/>
      </c>
      <c r="C8" s="67" t="str">
        <f t="shared" ref="C8:C69" si="1">IF(ISNUMBER(D8),"x","")</f>
        <v/>
      </c>
    </row>
    <row r="9" spans="2:17" ht="21" x14ac:dyDescent="0.45">
      <c r="B9" s="127" t="str">
        <f t="shared" si="0"/>
        <v/>
      </c>
      <c r="C9" s="67" t="str">
        <f t="shared" si="1"/>
        <v/>
      </c>
    </row>
    <row r="10" spans="2:17" ht="21" x14ac:dyDescent="0.45">
      <c r="B10" s="127" t="str">
        <f t="shared" si="0"/>
        <v/>
      </c>
      <c r="C10" s="67" t="str">
        <f t="shared" si="1"/>
        <v/>
      </c>
    </row>
    <row r="11" spans="2:17" ht="21" x14ac:dyDescent="0.45">
      <c r="B11" s="127" t="str">
        <f t="shared" si="0"/>
        <v/>
      </c>
      <c r="C11" s="67" t="str">
        <f t="shared" si="1"/>
        <v/>
      </c>
    </row>
    <row r="12" spans="2:17" ht="21" x14ac:dyDescent="0.45">
      <c r="B12" s="127" t="str">
        <f t="shared" si="0"/>
        <v/>
      </c>
      <c r="C12" s="67" t="str">
        <f t="shared" si="1"/>
        <v/>
      </c>
    </row>
    <row r="13" spans="2:17" ht="21" x14ac:dyDescent="0.45">
      <c r="B13" s="127" t="str">
        <f t="shared" si="0"/>
        <v/>
      </c>
      <c r="C13" s="67" t="str">
        <f t="shared" si="1"/>
        <v/>
      </c>
    </row>
    <row r="14" spans="2:17" ht="21" x14ac:dyDescent="0.45">
      <c r="B14" s="127" t="str">
        <f t="shared" si="0"/>
        <v/>
      </c>
      <c r="C14" s="67" t="str">
        <f t="shared" si="1"/>
        <v/>
      </c>
    </row>
    <row r="15" spans="2:17" ht="21" x14ac:dyDescent="0.45">
      <c r="B15" s="127" t="str">
        <f t="shared" si="0"/>
        <v/>
      </c>
      <c r="C15" s="67" t="str">
        <f t="shared" si="1"/>
        <v/>
      </c>
    </row>
    <row r="16" spans="2:17" ht="21" x14ac:dyDescent="0.45">
      <c r="B16" s="127" t="str">
        <f t="shared" si="0"/>
        <v/>
      </c>
      <c r="C16" s="67" t="str">
        <f t="shared" si="1"/>
        <v/>
      </c>
    </row>
    <row r="17" spans="2:3" ht="21" x14ac:dyDescent="0.45">
      <c r="B17" s="127" t="str">
        <f t="shared" si="0"/>
        <v/>
      </c>
      <c r="C17" s="67" t="str">
        <f t="shared" si="1"/>
        <v/>
      </c>
    </row>
    <row r="18" spans="2:3" ht="21" x14ac:dyDescent="0.45">
      <c r="B18" s="127" t="str">
        <f t="shared" si="0"/>
        <v/>
      </c>
      <c r="C18" s="67" t="str">
        <f t="shared" si="1"/>
        <v/>
      </c>
    </row>
    <row r="19" spans="2:3" ht="21" x14ac:dyDescent="0.45">
      <c r="B19" s="127" t="str">
        <f t="shared" si="0"/>
        <v/>
      </c>
      <c r="C19" s="67" t="str">
        <f t="shared" si="1"/>
        <v/>
      </c>
    </row>
    <row r="20" spans="2:3" ht="21" x14ac:dyDescent="0.45">
      <c r="B20" s="127" t="str">
        <f t="shared" si="0"/>
        <v/>
      </c>
      <c r="C20" s="67" t="str">
        <f t="shared" si="1"/>
        <v/>
      </c>
    </row>
    <row r="21" spans="2:3" ht="21" x14ac:dyDescent="0.45">
      <c r="B21" s="127" t="str">
        <f t="shared" si="0"/>
        <v/>
      </c>
      <c r="C21" s="67" t="str">
        <f t="shared" si="1"/>
        <v/>
      </c>
    </row>
    <row r="22" spans="2:3" ht="21" x14ac:dyDescent="0.45">
      <c r="B22" s="127" t="str">
        <f t="shared" si="0"/>
        <v/>
      </c>
      <c r="C22" s="67" t="str">
        <f t="shared" si="1"/>
        <v/>
      </c>
    </row>
    <row r="23" spans="2:3" ht="21" x14ac:dyDescent="0.45">
      <c r="B23" s="127" t="str">
        <f t="shared" si="0"/>
        <v/>
      </c>
      <c r="C23" s="67" t="str">
        <f t="shared" si="1"/>
        <v/>
      </c>
    </row>
    <row r="24" spans="2:3" ht="21" x14ac:dyDescent="0.45">
      <c r="B24" s="127" t="str">
        <f t="shared" si="0"/>
        <v/>
      </c>
      <c r="C24" s="67" t="str">
        <f t="shared" si="1"/>
        <v/>
      </c>
    </row>
    <row r="25" spans="2:3" ht="21" x14ac:dyDescent="0.45">
      <c r="B25" s="127" t="str">
        <f t="shared" si="0"/>
        <v/>
      </c>
      <c r="C25" s="67" t="str">
        <f t="shared" si="1"/>
        <v/>
      </c>
    </row>
    <row r="26" spans="2:3" ht="21" x14ac:dyDescent="0.45">
      <c r="B26" s="127" t="str">
        <f t="shared" si="0"/>
        <v/>
      </c>
      <c r="C26" s="67" t="str">
        <f t="shared" si="1"/>
        <v/>
      </c>
    </row>
    <row r="27" spans="2:3" ht="21" x14ac:dyDescent="0.45">
      <c r="B27" s="127" t="str">
        <f t="shared" si="0"/>
        <v/>
      </c>
      <c r="C27" s="67" t="str">
        <f t="shared" si="1"/>
        <v/>
      </c>
    </row>
    <row r="28" spans="2:3" ht="21" x14ac:dyDescent="0.45">
      <c r="B28" s="127" t="str">
        <f t="shared" si="0"/>
        <v/>
      </c>
      <c r="C28" s="67" t="str">
        <f t="shared" si="1"/>
        <v/>
      </c>
    </row>
    <row r="29" spans="2:3" ht="21" x14ac:dyDescent="0.45">
      <c r="B29" s="127" t="str">
        <f t="shared" si="0"/>
        <v/>
      </c>
      <c r="C29" s="67" t="str">
        <f t="shared" si="1"/>
        <v/>
      </c>
    </row>
    <row r="30" spans="2:3" ht="21" x14ac:dyDescent="0.45">
      <c r="B30" s="127" t="str">
        <f t="shared" si="0"/>
        <v/>
      </c>
      <c r="C30" s="67" t="str">
        <f t="shared" si="1"/>
        <v/>
      </c>
    </row>
    <row r="31" spans="2:3" ht="21" x14ac:dyDescent="0.45">
      <c r="B31" s="127" t="str">
        <f t="shared" si="0"/>
        <v/>
      </c>
      <c r="C31" s="67" t="str">
        <f t="shared" si="1"/>
        <v/>
      </c>
    </row>
    <row r="32" spans="2:3" ht="21" x14ac:dyDescent="0.45">
      <c r="B32" s="127" t="str">
        <f t="shared" si="0"/>
        <v/>
      </c>
      <c r="C32" s="67" t="str">
        <f t="shared" si="1"/>
        <v/>
      </c>
    </row>
    <row r="33" spans="2:3" ht="21" x14ac:dyDescent="0.45">
      <c r="B33" s="127" t="str">
        <f t="shared" si="0"/>
        <v/>
      </c>
      <c r="C33" s="67" t="str">
        <f t="shared" si="1"/>
        <v/>
      </c>
    </row>
    <row r="34" spans="2:3" ht="21" x14ac:dyDescent="0.45">
      <c r="B34" s="127" t="str">
        <f t="shared" si="0"/>
        <v/>
      </c>
      <c r="C34" s="67" t="str">
        <f t="shared" si="1"/>
        <v/>
      </c>
    </row>
    <row r="35" spans="2:3" ht="21" x14ac:dyDescent="0.45">
      <c r="B35" s="127" t="str">
        <f t="shared" si="0"/>
        <v/>
      </c>
      <c r="C35" s="67" t="str">
        <f t="shared" si="1"/>
        <v/>
      </c>
    </row>
    <row r="36" spans="2:3" ht="21" x14ac:dyDescent="0.45">
      <c r="B36" s="127" t="str">
        <f t="shared" si="0"/>
        <v/>
      </c>
      <c r="C36" s="67" t="str">
        <f t="shared" si="1"/>
        <v/>
      </c>
    </row>
    <row r="37" spans="2:3" ht="21" x14ac:dyDescent="0.45">
      <c r="B37" s="127" t="str">
        <f t="shared" si="0"/>
        <v/>
      </c>
      <c r="C37" s="67" t="str">
        <f t="shared" si="1"/>
        <v/>
      </c>
    </row>
    <row r="38" spans="2:3" ht="21" x14ac:dyDescent="0.45">
      <c r="B38" s="127" t="str">
        <f t="shared" si="0"/>
        <v/>
      </c>
      <c r="C38" s="67" t="str">
        <f t="shared" si="1"/>
        <v/>
      </c>
    </row>
    <row r="39" spans="2:3" ht="21" x14ac:dyDescent="0.45">
      <c r="B39" s="127" t="str">
        <f t="shared" si="0"/>
        <v/>
      </c>
      <c r="C39" s="67" t="str">
        <f t="shared" si="1"/>
        <v/>
      </c>
    </row>
    <row r="40" spans="2:3" ht="21" x14ac:dyDescent="0.45">
      <c r="B40" s="127" t="str">
        <f t="shared" si="0"/>
        <v/>
      </c>
      <c r="C40" s="67" t="str">
        <f t="shared" si="1"/>
        <v/>
      </c>
    </row>
    <row r="41" spans="2:3" ht="21" x14ac:dyDescent="0.45">
      <c r="B41" s="127" t="str">
        <f t="shared" si="0"/>
        <v/>
      </c>
      <c r="C41" s="67" t="str">
        <f t="shared" si="1"/>
        <v/>
      </c>
    </row>
    <row r="42" spans="2:3" ht="21" x14ac:dyDescent="0.45">
      <c r="B42" s="127" t="str">
        <f t="shared" si="0"/>
        <v/>
      </c>
      <c r="C42" s="67" t="str">
        <f t="shared" si="1"/>
        <v/>
      </c>
    </row>
    <row r="43" spans="2:3" ht="21" x14ac:dyDescent="0.45">
      <c r="B43" s="127" t="str">
        <f t="shared" si="0"/>
        <v/>
      </c>
      <c r="C43" s="67" t="str">
        <f t="shared" si="1"/>
        <v/>
      </c>
    </row>
    <row r="44" spans="2:3" ht="21" x14ac:dyDescent="0.45">
      <c r="B44" s="127" t="str">
        <f t="shared" si="0"/>
        <v/>
      </c>
      <c r="C44" s="67" t="str">
        <f t="shared" si="1"/>
        <v/>
      </c>
    </row>
    <row r="45" spans="2:3" ht="21" x14ac:dyDescent="0.45">
      <c r="B45" s="127" t="str">
        <f t="shared" si="0"/>
        <v/>
      </c>
      <c r="C45" s="67" t="str">
        <f t="shared" si="1"/>
        <v/>
      </c>
    </row>
    <row r="46" spans="2:3" ht="21" x14ac:dyDescent="0.45">
      <c r="B46" s="127" t="str">
        <f t="shared" si="0"/>
        <v/>
      </c>
      <c r="C46" s="67" t="str">
        <f t="shared" si="1"/>
        <v/>
      </c>
    </row>
    <row r="47" spans="2:3" ht="21" x14ac:dyDescent="0.45">
      <c r="B47" s="127" t="str">
        <f t="shared" si="0"/>
        <v/>
      </c>
      <c r="C47" s="67" t="str">
        <f t="shared" si="1"/>
        <v/>
      </c>
    </row>
    <row r="48" spans="2:3" ht="21" x14ac:dyDescent="0.45">
      <c r="B48" s="127" t="str">
        <f t="shared" si="0"/>
        <v/>
      </c>
      <c r="C48" s="67" t="str">
        <f t="shared" si="1"/>
        <v/>
      </c>
    </row>
    <row r="49" spans="2:3" ht="21" x14ac:dyDescent="0.45">
      <c r="B49" s="127" t="str">
        <f t="shared" si="0"/>
        <v/>
      </c>
      <c r="C49" s="67" t="str">
        <f t="shared" si="1"/>
        <v/>
      </c>
    </row>
    <row r="50" spans="2:3" ht="21" x14ac:dyDescent="0.45">
      <c r="B50" s="127" t="str">
        <f t="shared" si="0"/>
        <v/>
      </c>
      <c r="C50" s="67" t="str">
        <f t="shared" si="1"/>
        <v/>
      </c>
    </row>
    <row r="51" spans="2:3" ht="21" x14ac:dyDescent="0.45">
      <c r="B51" s="127" t="str">
        <f t="shared" si="0"/>
        <v/>
      </c>
      <c r="C51" s="67" t="str">
        <f t="shared" si="1"/>
        <v/>
      </c>
    </row>
    <row r="52" spans="2:3" ht="21" x14ac:dyDescent="0.45">
      <c r="B52" s="127" t="str">
        <f t="shared" si="0"/>
        <v/>
      </c>
      <c r="C52" s="67" t="str">
        <f t="shared" si="1"/>
        <v/>
      </c>
    </row>
    <row r="53" spans="2:3" ht="21" x14ac:dyDescent="0.45">
      <c r="B53" s="127" t="str">
        <f t="shared" si="0"/>
        <v/>
      </c>
      <c r="C53" s="67" t="str">
        <f t="shared" si="1"/>
        <v/>
      </c>
    </row>
    <row r="54" spans="2:3" ht="21" x14ac:dyDescent="0.45">
      <c r="B54" s="127" t="str">
        <f t="shared" si="0"/>
        <v/>
      </c>
      <c r="C54" s="67" t="str">
        <f t="shared" si="1"/>
        <v/>
      </c>
    </row>
    <row r="55" spans="2:3" ht="21" x14ac:dyDescent="0.45">
      <c r="B55" s="127" t="str">
        <f t="shared" si="0"/>
        <v/>
      </c>
      <c r="C55" s="67" t="str">
        <f t="shared" si="1"/>
        <v/>
      </c>
    </row>
    <row r="56" spans="2:3" ht="21" x14ac:dyDescent="0.45">
      <c r="B56" s="127" t="str">
        <f t="shared" si="0"/>
        <v/>
      </c>
      <c r="C56" s="67" t="str">
        <f t="shared" si="1"/>
        <v/>
      </c>
    </row>
    <row r="57" spans="2:3" ht="21" x14ac:dyDescent="0.45">
      <c r="B57" s="127" t="str">
        <f t="shared" si="0"/>
        <v/>
      </c>
      <c r="C57" s="67" t="str">
        <f t="shared" si="1"/>
        <v/>
      </c>
    </row>
    <row r="58" spans="2:3" ht="21" x14ac:dyDescent="0.45">
      <c r="B58" s="127" t="str">
        <f t="shared" si="0"/>
        <v/>
      </c>
      <c r="C58" s="67" t="str">
        <f t="shared" si="1"/>
        <v/>
      </c>
    </row>
    <row r="59" spans="2:3" ht="21" x14ac:dyDescent="0.45">
      <c r="B59" s="127" t="str">
        <f t="shared" si="0"/>
        <v/>
      </c>
      <c r="C59" s="67" t="str">
        <f t="shared" si="1"/>
        <v/>
      </c>
    </row>
    <row r="60" spans="2:3" ht="21" x14ac:dyDescent="0.45">
      <c r="B60" s="127" t="str">
        <f t="shared" si="0"/>
        <v/>
      </c>
      <c r="C60" s="67" t="str">
        <f t="shared" si="1"/>
        <v/>
      </c>
    </row>
    <row r="61" spans="2:3" ht="21" x14ac:dyDescent="0.45">
      <c r="B61" s="127" t="str">
        <f t="shared" si="0"/>
        <v/>
      </c>
      <c r="C61" s="67" t="str">
        <f t="shared" si="1"/>
        <v/>
      </c>
    </row>
    <row r="62" spans="2:3" ht="21" x14ac:dyDescent="0.45">
      <c r="B62" s="127" t="str">
        <f t="shared" si="0"/>
        <v/>
      </c>
      <c r="C62" s="67" t="str">
        <f t="shared" si="1"/>
        <v/>
      </c>
    </row>
    <row r="63" spans="2:3" ht="21" x14ac:dyDescent="0.45">
      <c r="B63" s="127" t="str">
        <f t="shared" si="0"/>
        <v/>
      </c>
      <c r="C63" s="67" t="str">
        <f t="shared" si="1"/>
        <v/>
      </c>
    </row>
    <row r="64" spans="2:3" ht="21" x14ac:dyDescent="0.45">
      <c r="B64" s="127" t="str">
        <f t="shared" si="0"/>
        <v/>
      </c>
      <c r="C64" s="67" t="str">
        <f t="shared" si="1"/>
        <v/>
      </c>
    </row>
    <row r="65" spans="2:3" ht="21" x14ac:dyDescent="0.45">
      <c r="B65" s="127" t="str">
        <f t="shared" si="0"/>
        <v/>
      </c>
      <c r="C65" s="67" t="str">
        <f t="shared" si="1"/>
        <v/>
      </c>
    </row>
    <row r="66" spans="2:3" ht="21" x14ac:dyDescent="0.45">
      <c r="B66" s="127" t="str">
        <f t="shared" si="0"/>
        <v/>
      </c>
      <c r="C66" s="67" t="str">
        <f t="shared" si="1"/>
        <v/>
      </c>
    </row>
    <row r="67" spans="2:3" ht="21" x14ac:dyDescent="0.45">
      <c r="B67" s="127" t="str">
        <f t="shared" si="0"/>
        <v/>
      </c>
      <c r="C67" s="67" t="str">
        <f t="shared" si="1"/>
        <v/>
      </c>
    </row>
    <row r="68" spans="2:3" ht="21" x14ac:dyDescent="0.45">
      <c r="B68" s="127" t="str">
        <f t="shared" si="0"/>
        <v/>
      </c>
      <c r="C68" s="67" t="str">
        <f t="shared" si="1"/>
        <v/>
      </c>
    </row>
    <row r="69" spans="2:3" ht="21" x14ac:dyDescent="0.45">
      <c r="B69" s="127" t="str">
        <f t="shared" si="0"/>
        <v/>
      </c>
      <c r="C69" s="67" t="str">
        <f t="shared" si="1"/>
        <v/>
      </c>
    </row>
    <row r="70" spans="2:3" ht="21" x14ac:dyDescent="0.45">
      <c r="B70" s="127" t="str">
        <f t="shared" ref="B70:B133" si="2">IF(ISNUMBER(D70),"...","")</f>
        <v/>
      </c>
      <c r="C70" s="67" t="str">
        <f t="shared" ref="C70:C133" si="3">IF(ISNUMBER(D70),"x","")</f>
        <v/>
      </c>
    </row>
    <row r="71" spans="2:3" ht="21" x14ac:dyDescent="0.45">
      <c r="B71" s="127" t="str">
        <f t="shared" si="2"/>
        <v/>
      </c>
      <c r="C71" s="67" t="str">
        <f t="shared" si="3"/>
        <v/>
      </c>
    </row>
    <row r="72" spans="2:3" ht="21" x14ac:dyDescent="0.45">
      <c r="B72" s="127" t="str">
        <f t="shared" si="2"/>
        <v/>
      </c>
      <c r="C72" s="67" t="str">
        <f t="shared" si="3"/>
        <v/>
      </c>
    </row>
    <row r="73" spans="2:3" ht="21" x14ac:dyDescent="0.45">
      <c r="B73" s="127" t="str">
        <f t="shared" si="2"/>
        <v/>
      </c>
      <c r="C73" s="67" t="str">
        <f t="shared" si="3"/>
        <v/>
      </c>
    </row>
    <row r="74" spans="2:3" ht="21" x14ac:dyDescent="0.45">
      <c r="B74" s="127" t="str">
        <f t="shared" si="2"/>
        <v/>
      </c>
      <c r="C74" s="67" t="str">
        <f t="shared" si="3"/>
        <v/>
      </c>
    </row>
    <row r="75" spans="2:3" ht="21" x14ac:dyDescent="0.45">
      <c r="B75" s="127" t="str">
        <f t="shared" si="2"/>
        <v/>
      </c>
      <c r="C75" s="67" t="str">
        <f t="shared" si="3"/>
        <v/>
      </c>
    </row>
    <row r="76" spans="2:3" ht="21" x14ac:dyDescent="0.45">
      <c r="B76" s="127" t="str">
        <f t="shared" si="2"/>
        <v/>
      </c>
      <c r="C76" s="67" t="str">
        <f t="shared" si="3"/>
        <v/>
      </c>
    </row>
    <row r="77" spans="2:3" ht="21" x14ac:dyDescent="0.45">
      <c r="B77" s="127" t="str">
        <f t="shared" si="2"/>
        <v/>
      </c>
      <c r="C77" s="67" t="str">
        <f t="shared" si="3"/>
        <v/>
      </c>
    </row>
    <row r="78" spans="2:3" ht="21" x14ac:dyDescent="0.45">
      <c r="B78" s="127" t="str">
        <f t="shared" si="2"/>
        <v/>
      </c>
      <c r="C78" s="67" t="str">
        <f t="shared" si="3"/>
        <v/>
      </c>
    </row>
    <row r="79" spans="2:3" ht="21" x14ac:dyDescent="0.45">
      <c r="B79" s="127" t="str">
        <f t="shared" si="2"/>
        <v/>
      </c>
      <c r="C79" s="67" t="str">
        <f t="shared" si="3"/>
        <v/>
      </c>
    </row>
    <row r="80" spans="2:3" ht="21" x14ac:dyDescent="0.45">
      <c r="B80" s="127" t="str">
        <f t="shared" si="2"/>
        <v/>
      </c>
      <c r="C80" s="67" t="str">
        <f t="shared" si="3"/>
        <v/>
      </c>
    </row>
    <row r="81" spans="2:3" ht="21" x14ac:dyDescent="0.45">
      <c r="B81" s="127" t="str">
        <f t="shared" si="2"/>
        <v/>
      </c>
      <c r="C81" s="67" t="str">
        <f t="shared" si="3"/>
        <v/>
      </c>
    </row>
    <row r="82" spans="2:3" ht="21" x14ac:dyDescent="0.45">
      <c r="B82" s="127" t="str">
        <f t="shared" si="2"/>
        <v/>
      </c>
      <c r="C82" s="67" t="str">
        <f t="shared" si="3"/>
        <v/>
      </c>
    </row>
    <row r="83" spans="2:3" ht="21" x14ac:dyDescent="0.45">
      <c r="B83" s="127" t="str">
        <f t="shared" si="2"/>
        <v/>
      </c>
      <c r="C83" s="67" t="str">
        <f t="shared" si="3"/>
        <v/>
      </c>
    </row>
    <row r="84" spans="2:3" ht="21" x14ac:dyDescent="0.45">
      <c r="B84" s="127" t="str">
        <f t="shared" si="2"/>
        <v/>
      </c>
      <c r="C84" s="67" t="str">
        <f t="shared" si="3"/>
        <v/>
      </c>
    </row>
    <row r="85" spans="2:3" ht="21" x14ac:dyDescent="0.45">
      <c r="B85" s="127" t="str">
        <f t="shared" si="2"/>
        <v/>
      </c>
      <c r="C85" s="67" t="str">
        <f t="shared" si="3"/>
        <v/>
      </c>
    </row>
    <row r="86" spans="2:3" ht="21" x14ac:dyDescent="0.45">
      <c r="B86" s="127" t="str">
        <f t="shared" si="2"/>
        <v/>
      </c>
      <c r="C86" s="67" t="str">
        <f t="shared" si="3"/>
        <v/>
      </c>
    </row>
    <row r="87" spans="2:3" ht="21" x14ac:dyDescent="0.45">
      <c r="B87" s="127" t="str">
        <f t="shared" si="2"/>
        <v/>
      </c>
      <c r="C87" s="67" t="str">
        <f t="shared" si="3"/>
        <v/>
      </c>
    </row>
    <row r="88" spans="2:3" ht="21" x14ac:dyDescent="0.45">
      <c r="B88" s="127" t="str">
        <f t="shared" si="2"/>
        <v/>
      </c>
      <c r="C88" s="67" t="str">
        <f t="shared" si="3"/>
        <v/>
      </c>
    </row>
    <row r="89" spans="2:3" ht="21" x14ac:dyDescent="0.45">
      <c r="B89" s="127" t="str">
        <f t="shared" si="2"/>
        <v/>
      </c>
      <c r="C89" s="67" t="str">
        <f t="shared" si="3"/>
        <v/>
      </c>
    </row>
    <row r="90" spans="2:3" ht="21" x14ac:dyDescent="0.45">
      <c r="B90" s="127" t="str">
        <f t="shared" si="2"/>
        <v/>
      </c>
      <c r="C90" s="67" t="str">
        <f t="shared" si="3"/>
        <v/>
      </c>
    </row>
    <row r="91" spans="2:3" ht="21" x14ac:dyDescent="0.45">
      <c r="B91" s="127" t="str">
        <f t="shared" si="2"/>
        <v/>
      </c>
      <c r="C91" s="67" t="str">
        <f t="shared" si="3"/>
        <v/>
      </c>
    </row>
    <row r="92" spans="2:3" ht="21" x14ac:dyDescent="0.45">
      <c r="B92" s="127" t="str">
        <f t="shared" si="2"/>
        <v/>
      </c>
      <c r="C92" s="67" t="str">
        <f t="shared" si="3"/>
        <v/>
      </c>
    </row>
    <row r="93" spans="2:3" ht="21" x14ac:dyDescent="0.45">
      <c r="B93" s="127" t="str">
        <f t="shared" si="2"/>
        <v/>
      </c>
      <c r="C93" s="67" t="str">
        <f t="shared" si="3"/>
        <v/>
      </c>
    </row>
    <row r="94" spans="2:3" ht="21" x14ac:dyDescent="0.45">
      <c r="B94" s="127" t="str">
        <f t="shared" si="2"/>
        <v/>
      </c>
      <c r="C94" s="67" t="str">
        <f t="shared" si="3"/>
        <v/>
      </c>
    </row>
    <row r="95" spans="2:3" ht="21" x14ac:dyDescent="0.45">
      <c r="B95" s="127" t="str">
        <f t="shared" si="2"/>
        <v/>
      </c>
      <c r="C95" s="67" t="str">
        <f t="shared" si="3"/>
        <v/>
      </c>
    </row>
    <row r="96" spans="2:3" ht="21" x14ac:dyDescent="0.45">
      <c r="B96" s="127" t="str">
        <f t="shared" si="2"/>
        <v/>
      </c>
      <c r="C96" s="67" t="str">
        <f t="shared" si="3"/>
        <v/>
      </c>
    </row>
    <row r="97" spans="2:3" ht="21" x14ac:dyDescent="0.45">
      <c r="B97" s="127" t="str">
        <f t="shared" si="2"/>
        <v/>
      </c>
      <c r="C97" s="67" t="str">
        <f t="shared" si="3"/>
        <v/>
      </c>
    </row>
    <row r="98" spans="2:3" ht="21" x14ac:dyDescent="0.45">
      <c r="B98" s="127" t="str">
        <f t="shared" si="2"/>
        <v/>
      </c>
      <c r="C98" s="67" t="str">
        <f t="shared" si="3"/>
        <v/>
      </c>
    </row>
    <row r="99" spans="2:3" ht="21" x14ac:dyDescent="0.45">
      <c r="B99" s="127" t="str">
        <f t="shared" si="2"/>
        <v/>
      </c>
      <c r="C99" s="67" t="str">
        <f t="shared" si="3"/>
        <v/>
      </c>
    </row>
    <row r="100" spans="2:3" ht="21" x14ac:dyDescent="0.45">
      <c r="B100" s="127" t="str">
        <f t="shared" si="2"/>
        <v/>
      </c>
      <c r="C100" s="67" t="str">
        <f t="shared" si="3"/>
        <v/>
      </c>
    </row>
    <row r="101" spans="2:3" ht="21" x14ac:dyDescent="0.45">
      <c r="B101" s="127" t="str">
        <f t="shared" si="2"/>
        <v/>
      </c>
      <c r="C101" s="67" t="str">
        <f t="shared" si="3"/>
        <v/>
      </c>
    </row>
    <row r="102" spans="2:3" ht="21" x14ac:dyDescent="0.45">
      <c r="B102" s="127" t="str">
        <f t="shared" si="2"/>
        <v/>
      </c>
      <c r="C102" s="67" t="str">
        <f t="shared" si="3"/>
        <v/>
      </c>
    </row>
    <row r="103" spans="2:3" ht="21" x14ac:dyDescent="0.45">
      <c r="B103" s="127" t="str">
        <f t="shared" si="2"/>
        <v/>
      </c>
      <c r="C103" s="67" t="str">
        <f t="shared" si="3"/>
        <v/>
      </c>
    </row>
    <row r="104" spans="2:3" ht="21" x14ac:dyDescent="0.45">
      <c r="B104" s="127" t="str">
        <f t="shared" si="2"/>
        <v/>
      </c>
      <c r="C104" s="67" t="str">
        <f t="shared" si="3"/>
        <v/>
      </c>
    </row>
    <row r="105" spans="2:3" ht="21" x14ac:dyDescent="0.45">
      <c r="B105" s="127" t="str">
        <f t="shared" si="2"/>
        <v/>
      </c>
      <c r="C105" s="67" t="str">
        <f t="shared" si="3"/>
        <v/>
      </c>
    </row>
    <row r="106" spans="2:3" ht="21" x14ac:dyDescent="0.45">
      <c r="B106" s="127" t="str">
        <f t="shared" si="2"/>
        <v/>
      </c>
      <c r="C106" s="67" t="str">
        <f t="shared" si="3"/>
        <v/>
      </c>
    </row>
    <row r="107" spans="2:3" ht="21" x14ac:dyDescent="0.45">
      <c r="B107" s="127" t="str">
        <f t="shared" si="2"/>
        <v/>
      </c>
      <c r="C107" s="67" t="str">
        <f t="shared" si="3"/>
        <v/>
      </c>
    </row>
    <row r="108" spans="2:3" ht="21" x14ac:dyDescent="0.45">
      <c r="B108" s="127" t="str">
        <f t="shared" si="2"/>
        <v/>
      </c>
      <c r="C108" s="67" t="str">
        <f t="shared" si="3"/>
        <v/>
      </c>
    </row>
    <row r="109" spans="2:3" ht="21" x14ac:dyDescent="0.45">
      <c r="B109" s="127" t="str">
        <f t="shared" si="2"/>
        <v/>
      </c>
      <c r="C109" s="67" t="str">
        <f t="shared" si="3"/>
        <v/>
      </c>
    </row>
    <row r="110" spans="2:3" ht="21" x14ac:dyDescent="0.45">
      <c r="B110" s="127" t="str">
        <f t="shared" si="2"/>
        <v/>
      </c>
      <c r="C110" s="67" t="str">
        <f t="shared" si="3"/>
        <v/>
      </c>
    </row>
    <row r="111" spans="2:3" ht="21" x14ac:dyDescent="0.45">
      <c r="B111" s="127" t="str">
        <f t="shared" si="2"/>
        <v/>
      </c>
      <c r="C111" s="67" t="str">
        <f t="shared" si="3"/>
        <v/>
      </c>
    </row>
    <row r="112" spans="2:3" ht="21" x14ac:dyDescent="0.45">
      <c r="B112" s="127" t="str">
        <f t="shared" si="2"/>
        <v/>
      </c>
      <c r="C112" s="67" t="str">
        <f t="shared" si="3"/>
        <v/>
      </c>
    </row>
    <row r="113" spans="2:3" ht="21" x14ac:dyDescent="0.45">
      <c r="B113" s="127" t="str">
        <f t="shared" si="2"/>
        <v/>
      </c>
      <c r="C113" s="67" t="str">
        <f t="shared" si="3"/>
        <v/>
      </c>
    </row>
    <row r="114" spans="2:3" ht="21" x14ac:dyDescent="0.45">
      <c r="B114" s="127" t="str">
        <f t="shared" si="2"/>
        <v/>
      </c>
      <c r="C114" s="67" t="str">
        <f t="shared" si="3"/>
        <v/>
      </c>
    </row>
    <row r="115" spans="2:3" ht="21" x14ac:dyDescent="0.45">
      <c r="B115" s="127" t="str">
        <f t="shared" si="2"/>
        <v/>
      </c>
      <c r="C115" s="67" t="str">
        <f t="shared" si="3"/>
        <v/>
      </c>
    </row>
    <row r="116" spans="2:3" ht="21" x14ac:dyDescent="0.45">
      <c r="B116" s="127" t="str">
        <f t="shared" si="2"/>
        <v/>
      </c>
      <c r="C116" s="67" t="str">
        <f t="shared" si="3"/>
        <v/>
      </c>
    </row>
    <row r="117" spans="2:3" ht="21" x14ac:dyDescent="0.45">
      <c r="B117" s="127" t="str">
        <f t="shared" si="2"/>
        <v/>
      </c>
      <c r="C117" s="67" t="str">
        <f t="shared" si="3"/>
        <v/>
      </c>
    </row>
    <row r="118" spans="2:3" ht="21" x14ac:dyDescent="0.45">
      <c r="B118" s="127" t="str">
        <f t="shared" si="2"/>
        <v/>
      </c>
      <c r="C118" s="67" t="str">
        <f t="shared" si="3"/>
        <v/>
      </c>
    </row>
    <row r="119" spans="2:3" ht="21" x14ac:dyDescent="0.45">
      <c r="B119" s="127" t="str">
        <f t="shared" si="2"/>
        <v/>
      </c>
      <c r="C119" s="67" t="str">
        <f t="shared" si="3"/>
        <v/>
      </c>
    </row>
    <row r="120" spans="2:3" ht="21" x14ac:dyDescent="0.45">
      <c r="B120" s="127" t="str">
        <f t="shared" si="2"/>
        <v/>
      </c>
      <c r="C120" s="67" t="str">
        <f t="shared" si="3"/>
        <v/>
      </c>
    </row>
    <row r="121" spans="2:3" ht="21" x14ac:dyDescent="0.45">
      <c r="B121" s="127" t="str">
        <f t="shared" si="2"/>
        <v/>
      </c>
      <c r="C121" s="67" t="str">
        <f t="shared" si="3"/>
        <v/>
      </c>
    </row>
    <row r="122" spans="2:3" ht="21" x14ac:dyDescent="0.45">
      <c r="B122" s="127" t="str">
        <f t="shared" si="2"/>
        <v/>
      </c>
      <c r="C122" s="67" t="str">
        <f t="shared" si="3"/>
        <v/>
      </c>
    </row>
    <row r="123" spans="2:3" ht="21" x14ac:dyDescent="0.45">
      <c r="B123" s="127" t="str">
        <f t="shared" si="2"/>
        <v/>
      </c>
      <c r="C123" s="67" t="str">
        <f t="shared" si="3"/>
        <v/>
      </c>
    </row>
    <row r="124" spans="2:3" ht="21" x14ac:dyDescent="0.45">
      <c r="B124" s="127" t="str">
        <f t="shared" si="2"/>
        <v/>
      </c>
      <c r="C124" s="67" t="str">
        <f t="shared" si="3"/>
        <v/>
      </c>
    </row>
    <row r="125" spans="2:3" ht="21" x14ac:dyDescent="0.45">
      <c r="B125" s="127" t="str">
        <f t="shared" si="2"/>
        <v/>
      </c>
      <c r="C125" s="67" t="str">
        <f t="shared" si="3"/>
        <v/>
      </c>
    </row>
    <row r="126" spans="2:3" ht="21" x14ac:dyDescent="0.45">
      <c r="B126" s="127" t="str">
        <f t="shared" si="2"/>
        <v/>
      </c>
      <c r="C126" s="67" t="str">
        <f t="shared" si="3"/>
        <v/>
      </c>
    </row>
    <row r="127" spans="2:3" ht="21" x14ac:dyDescent="0.45">
      <c r="B127" s="127" t="str">
        <f t="shared" si="2"/>
        <v/>
      </c>
      <c r="C127" s="67" t="str">
        <f t="shared" si="3"/>
        <v/>
      </c>
    </row>
    <row r="128" spans="2:3" ht="21" x14ac:dyDescent="0.45">
      <c r="B128" s="127" t="str">
        <f t="shared" si="2"/>
        <v/>
      </c>
      <c r="C128" s="67" t="str">
        <f t="shared" si="3"/>
        <v/>
      </c>
    </row>
    <row r="129" spans="2:3" ht="21" x14ac:dyDescent="0.45">
      <c r="B129" s="127" t="str">
        <f t="shared" si="2"/>
        <v/>
      </c>
      <c r="C129" s="67" t="str">
        <f t="shared" si="3"/>
        <v/>
      </c>
    </row>
    <row r="130" spans="2:3" ht="21" x14ac:dyDescent="0.45">
      <c r="B130" s="127" t="str">
        <f t="shared" si="2"/>
        <v/>
      </c>
      <c r="C130" s="67" t="str">
        <f t="shared" si="3"/>
        <v/>
      </c>
    </row>
    <row r="131" spans="2:3" ht="21" x14ac:dyDescent="0.45">
      <c r="B131" s="127" t="str">
        <f t="shared" si="2"/>
        <v/>
      </c>
      <c r="C131" s="67" t="str">
        <f t="shared" si="3"/>
        <v/>
      </c>
    </row>
    <row r="132" spans="2:3" ht="21" x14ac:dyDescent="0.45">
      <c r="B132" s="127" t="str">
        <f t="shared" si="2"/>
        <v/>
      </c>
      <c r="C132" s="67" t="str">
        <f t="shared" si="3"/>
        <v/>
      </c>
    </row>
    <row r="133" spans="2:3" ht="21" x14ac:dyDescent="0.45">
      <c r="B133" s="127" t="str">
        <f t="shared" si="2"/>
        <v/>
      </c>
      <c r="C133" s="67" t="str">
        <f t="shared" si="3"/>
        <v/>
      </c>
    </row>
    <row r="134" spans="2:3" ht="21" x14ac:dyDescent="0.45">
      <c r="B134" s="127" t="str">
        <f t="shared" ref="B134:B197" si="4">IF(ISNUMBER(D134),"...","")</f>
        <v/>
      </c>
      <c r="C134" s="67" t="str">
        <f t="shared" ref="C134:C197" si="5">IF(ISNUMBER(D134),"x","")</f>
        <v/>
      </c>
    </row>
    <row r="135" spans="2:3" ht="21" x14ac:dyDescent="0.45">
      <c r="B135" s="127" t="str">
        <f t="shared" si="4"/>
        <v/>
      </c>
      <c r="C135" s="67" t="str">
        <f t="shared" si="5"/>
        <v/>
      </c>
    </row>
    <row r="136" spans="2:3" ht="21" x14ac:dyDescent="0.45">
      <c r="B136" s="127" t="str">
        <f t="shared" si="4"/>
        <v/>
      </c>
      <c r="C136" s="67" t="str">
        <f t="shared" si="5"/>
        <v/>
      </c>
    </row>
    <row r="137" spans="2:3" ht="21" x14ac:dyDescent="0.45">
      <c r="B137" s="127" t="str">
        <f t="shared" si="4"/>
        <v/>
      </c>
      <c r="C137" s="67" t="str">
        <f t="shared" si="5"/>
        <v/>
      </c>
    </row>
    <row r="138" spans="2:3" ht="21" x14ac:dyDescent="0.45">
      <c r="B138" s="127" t="str">
        <f t="shared" si="4"/>
        <v/>
      </c>
      <c r="C138" s="67" t="str">
        <f t="shared" si="5"/>
        <v/>
      </c>
    </row>
    <row r="139" spans="2:3" ht="21" x14ac:dyDescent="0.45">
      <c r="B139" s="127" t="str">
        <f t="shared" si="4"/>
        <v/>
      </c>
      <c r="C139" s="67" t="str">
        <f t="shared" si="5"/>
        <v/>
      </c>
    </row>
    <row r="140" spans="2:3" ht="21" x14ac:dyDescent="0.45">
      <c r="B140" s="127" t="str">
        <f t="shared" si="4"/>
        <v/>
      </c>
      <c r="C140" s="67" t="str">
        <f t="shared" si="5"/>
        <v/>
      </c>
    </row>
    <row r="141" spans="2:3" ht="21" x14ac:dyDescent="0.45">
      <c r="B141" s="127" t="str">
        <f t="shared" si="4"/>
        <v/>
      </c>
      <c r="C141" s="67" t="str">
        <f t="shared" si="5"/>
        <v/>
      </c>
    </row>
    <row r="142" spans="2:3" ht="21" x14ac:dyDescent="0.45">
      <c r="B142" s="127" t="str">
        <f t="shared" si="4"/>
        <v/>
      </c>
      <c r="C142" s="67" t="str">
        <f t="shared" si="5"/>
        <v/>
      </c>
    </row>
    <row r="143" spans="2:3" ht="21" x14ac:dyDescent="0.45">
      <c r="B143" s="127" t="str">
        <f t="shared" si="4"/>
        <v/>
      </c>
      <c r="C143" s="67" t="str">
        <f t="shared" si="5"/>
        <v/>
      </c>
    </row>
    <row r="144" spans="2:3" ht="21" x14ac:dyDescent="0.45">
      <c r="B144" s="127" t="str">
        <f t="shared" si="4"/>
        <v/>
      </c>
      <c r="C144" s="67" t="str">
        <f t="shared" si="5"/>
        <v/>
      </c>
    </row>
    <row r="145" spans="2:3" ht="21" x14ac:dyDescent="0.45">
      <c r="B145" s="127" t="str">
        <f t="shared" si="4"/>
        <v/>
      </c>
      <c r="C145" s="67" t="str">
        <f t="shared" si="5"/>
        <v/>
      </c>
    </row>
    <row r="146" spans="2:3" ht="21" x14ac:dyDescent="0.45">
      <c r="B146" s="127" t="str">
        <f t="shared" si="4"/>
        <v/>
      </c>
      <c r="C146" s="67" t="str">
        <f t="shared" si="5"/>
        <v/>
      </c>
    </row>
    <row r="147" spans="2:3" ht="21" x14ac:dyDescent="0.45">
      <c r="B147" s="127" t="str">
        <f t="shared" si="4"/>
        <v/>
      </c>
      <c r="C147" s="67" t="str">
        <f t="shared" si="5"/>
        <v/>
      </c>
    </row>
    <row r="148" spans="2:3" ht="21" x14ac:dyDescent="0.45">
      <c r="B148" s="127" t="str">
        <f t="shared" si="4"/>
        <v/>
      </c>
      <c r="C148" s="67" t="str">
        <f t="shared" si="5"/>
        <v/>
      </c>
    </row>
    <row r="149" spans="2:3" ht="21" x14ac:dyDescent="0.45">
      <c r="B149" s="127" t="str">
        <f t="shared" si="4"/>
        <v/>
      </c>
      <c r="C149" s="67" t="str">
        <f t="shared" si="5"/>
        <v/>
      </c>
    </row>
    <row r="150" spans="2:3" ht="21" x14ac:dyDescent="0.45">
      <c r="B150" s="127" t="str">
        <f t="shared" si="4"/>
        <v/>
      </c>
      <c r="C150" s="67" t="str">
        <f t="shared" si="5"/>
        <v/>
      </c>
    </row>
    <row r="151" spans="2:3" ht="21" x14ac:dyDescent="0.45">
      <c r="B151" s="127" t="str">
        <f t="shared" si="4"/>
        <v/>
      </c>
      <c r="C151" s="67" t="str">
        <f t="shared" si="5"/>
        <v/>
      </c>
    </row>
    <row r="152" spans="2:3" ht="21" x14ac:dyDescent="0.45">
      <c r="B152" s="127" t="str">
        <f t="shared" si="4"/>
        <v/>
      </c>
      <c r="C152" s="67" t="str">
        <f t="shared" si="5"/>
        <v/>
      </c>
    </row>
    <row r="153" spans="2:3" ht="21" x14ac:dyDescent="0.45">
      <c r="B153" s="127" t="str">
        <f t="shared" si="4"/>
        <v/>
      </c>
      <c r="C153" s="67" t="str">
        <f t="shared" si="5"/>
        <v/>
      </c>
    </row>
    <row r="154" spans="2:3" ht="21" x14ac:dyDescent="0.45">
      <c r="B154" s="127" t="str">
        <f t="shared" si="4"/>
        <v/>
      </c>
      <c r="C154" s="67" t="str">
        <f t="shared" si="5"/>
        <v/>
      </c>
    </row>
    <row r="155" spans="2:3" ht="21" x14ac:dyDescent="0.45">
      <c r="B155" s="127" t="str">
        <f t="shared" si="4"/>
        <v/>
      </c>
      <c r="C155" s="67" t="str">
        <f t="shared" si="5"/>
        <v/>
      </c>
    </row>
    <row r="156" spans="2:3" ht="21" x14ac:dyDescent="0.45">
      <c r="B156" s="127" t="str">
        <f t="shared" si="4"/>
        <v/>
      </c>
      <c r="C156" s="67" t="str">
        <f t="shared" si="5"/>
        <v/>
      </c>
    </row>
    <row r="157" spans="2:3" ht="21" x14ac:dyDescent="0.45">
      <c r="B157" s="127" t="str">
        <f t="shared" si="4"/>
        <v/>
      </c>
      <c r="C157" s="67" t="str">
        <f t="shared" si="5"/>
        <v/>
      </c>
    </row>
    <row r="158" spans="2:3" ht="21" x14ac:dyDescent="0.45">
      <c r="B158" s="127" t="str">
        <f t="shared" si="4"/>
        <v/>
      </c>
      <c r="C158" s="67" t="str">
        <f t="shared" si="5"/>
        <v/>
      </c>
    </row>
    <row r="159" spans="2:3" ht="21" x14ac:dyDescent="0.45">
      <c r="B159" s="127" t="str">
        <f t="shared" si="4"/>
        <v/>
      </c>
      <c r="C159" s="67" t="str">
        <f t="shared" si="5"/>
        <v/>
      </c>
    </row>
    <row r="160" spans="2:3" ht="21" x14ac:dyDescent="0.45">
      <c r="B160" s="127" t="str">
        <f t="shared" si="4"/>
        <v/>
      </c>
      <c r="C160" s="67" t="str">
        <f t="shared" si="5"/>
        <v/>
      </c>
    </row>
    <row r="161" spans="2:3" ht="21" x14ac:dyDescent="0.45">
      <c r="B161" s="127" t="str">
        <f t="shared" si="4"/>
        <v/>
      </c>
      <c r="C161" s="67" t="str">
        <f t="shared" si="5"/>
        <v/>
      </c>
    </row>
    <row r="162" spans="2:3" ht="21" x14ac:dyDescent="0.45">
      <c r="B162" s="127" t="str">
        <f t="shared" si="4"/>
        <v/>
      </c>
      <c r="C162" s="67" t="str">
        <f t="shared" si="5"/>
        <v/>
      </c>
    </row>
    <row r="163" spans="2:3" ht="21" x14ac:dyDescent="0.45">
      <c r="B163" s="127" t="str">
        <f t="shared" si="4"/>
        <v/>
      </c>
      <c r="C163" s="67" t="str">
        <f t="shared" si="5"/>
        <v/>
      </c>
    </row>
    <row r="164" spans="2:3" ht="21" x14ac:dyDescent="0.45">
      <c r="B164" s="127" t="str">
        <f t="shared" si="4"/>
        <v/>
      </c>
      <c r="C164" s="67" t="str">
        <f t="shared" si="5"/>
        <v/>
      </c>
    </row>
    <row r="165" spans="2:3" ht="21" x14ac:dyDescent="0.45">
      <c r="B165" s="127" t="str">
        <f t="shared" si="4"/>
        <v/>
      </c>
      <c r="C165" s="67" t="str">
        <f t="shared" si="5"/>
        <v/>
      </c>
    </row>
    <row r="166" spans="2:3" ht="21" x14ac:dyDescent="0.45">
      <c r="B166" s="127" t="str">
        <f t="shared" si="4"/>
        <v/>
      </c>
      <c r="C166" s="67" t="str">
        <f t="shared" si="5"/>
        <v/>
      </c>
    </row>
    <row r="167" spans="2:3" ht="21" x14ac:dyDescent="0.45">
      <c r="B167" s="127" t="str">
        <f t="shared" si="4"/>
        <v/>
      </c>
      <c r="C167" s="67" t="str">
        <f t="shared" si="5"/>
        <v/>
      </c>
    </row>
    <row r="168" spans="2:3" ht="21" x14ac:dyDescent="0.45">
      <c r="B168" s="127" t="str">
        <f t="shared" si="4"/>
        <v/>
      </c>
      <c r="C168" s="67" t="str">
        <f t="shared" si="5"/>
        <v/>
      </c>
    </row>
    <row r="169" spans="2:3" ht="21" x14ac:dyDescent="0.45">
      <c r="B169" s="127" t="str">
        <f t="shared" si="4"/>
        <v/>
      </c>
      <c r="C169" s="67" t="str">
        <f t="shared" si="5"/>
        <v/>
      </c>
    </row>
    <row r="170" spans="2:3" ht="21" x14ac:dyDescent="0.45">
      <c r="B170" s="127" t="str">
        <f t="shared" si="4"/>
        <v/>
      </c>
      <c r="C170" s="67" t="str">
        <f t="shared" si="5"/>
        <v/>
      </c>
    </row>
    <row r="171" spans="2:3" ht="21" x14ac:dyDescent="0.45">
      <c r="B171" s="127" t="str">
        <f t="shared" si="4"/>
        <v/>
      </c>
      <c r="C171" s="67" t="str">
        <f t="shared" si="5"/>
        <v/>
      </c>
    </row>
    <row r="172" spans="2:3" ht="21" x14ac:dyDescent="0.45">
      <c r="B172" s="127" t="str">
        <f t="shared" si="4"/>
        <v/>
      </c>
      <c r="C172" s="67" t="str">
        <f t="shared" si="5"/>
        <v/>
      </c>
    </row>
    <row r="173" spans="2:3" ht="21" x14ac:dyDescent="0.45">
      <c r="B173" s="127" t="str">
        <f t="shared" si="4"/>
        <v/>
      </c>
      <c r="C173" s="67" t="str">
        <f t="shared" si="5"/>
        <v/>
      </c>
    </row>
    <row r="174" spans="2:3" ht="21" x14ac:dyDescent="0.45">
      <c r="B174" s="127" t="str">
        <f t="shared" si="4"/>
        <v/>
      </c>
      <c r="C174" s="67" t="str">
        <f t="shared" si="5"/>
        <v/>
      </c>
    </row>
    <row r="175" spans="2:3" ht="21" x14ac:dyDescent="0.45">
      <c r="B175" s="127" t="str">
        <f t="shared" si="4"/>
        <v/>
      </c>
      <c r="C175" s="67" t="str">
        <f t="shared" si="5"/>
        <v/>
      </c>
    </row>
    <row r="176" spans="2:3" ht="21" x14ac:dyDescent="0.45">
      <c r="B176" s="127" t="str">
        <f t="shared" si="4"/>
        <v/>
      </c>
      <c r="C176" s="67" t="str">
        <f t="shared" si="5"/>
        <v/>
      </c>
    </row>
    <row r="177" spans="2:3" ht="21" x14ac:dyDescent="0.45">
      <c r="B177" s="127" t="str">
        <f t="shared" si="4"/>
        <v/>
      </c>
      <c r="C177" s="67" t="str">
        <f t="shared" si="5"/>
        <v/>
      </c>
    </row>
    <row r="178" spans="2:3" ht="21" x14ac:dyDescent="0.45">
      <c r="B178" s="127" t="str">
        <f t="shared" si="4"/>
        <v/>
      </c>
      <c r="C178" s="67" t="str">
        <f t="shared" si="5"/>
        <v/>
      </c>
    </row>
    <row r="179" spans="2:3" ht="21" x14ac:dyDescent="0.45">
      <c r="B179" s="127" t="str">
        <f t="shared" si="4"/>
        <v/>
      </c>
      <c r="C179" s="67" t="str">
        <f t="shared" si="5"/>
        <v/>
      </c>
    </row>
    <row r="180" spans="2:3" ht="21" x14ac:dyDescent="0.45">
      <c r="B180" s="127" t="str">
        <f t="shared" si="4"/>
        <v/>
      </c>
      <c r="C180" s="67" t="str">
        <f t="shared" si="5"/>
        <v/>
      </c>
    </row>
    <row r="181" spans="2:3" ht="21" x14ac:dyDescent="0.45">
      <c r="B181" s="127" t="str">
        <f t="shared" si="4"/>
        <v/>
      </c>
      <c r="C181" s="67" t="str">
        <f t="shared" si="5"/>
        <v/>
      </c>
    </row>
    <row r="182" spans="2:3" ht="21" x14ac:dyDescent="0.45">
      <c r="B182" s="127" t="str">
        <f t="shared" si="4"/>
        <v/>
      </c>
      <c r="C182" s="67" t="str">
        <f t="shared" si="5"/>
        <v/>
      </c>
    </row>
    <row r="183" spans="2:3" ht="21" x14ac:dyDescent="0.45">
      <c r="B183" s="127" t="str">
        <f t="shared" si="4"/>
        <v/>
      </c>
      <c r="C183" s="67" t="str">
        <f t="shared" si="5"/>
        <v/>
      </c>
    </row>
    <row r="184" spans="2:3" ht="21" x14ac:dyDescent="0.45">
      <c r="B184" s="127" t="str">
        <f t="shared" si="4"/>
        <v/>
      </c>
      <c r="C184" s="67" t="str">
        <f t="shared" si="5"/>
        <v/>
      </c>
    </row>
    <row r="185" spans="2:3" ht="21" x14ac:dyDescent="0.45">
      <c r="B185" s="127" t="str">
        <f t="shared" si="4"/>
        <v/>
      </c>
      <c r="C185" s="67" t="str">
        <f t="shared" si="5"/>
        <v/>
      </c>
    </row>
    <row r="186" spans="2:3" ht="21" x14ac:dyDescent="0.45">
      <c r="B186" s="127" t="str">
        <f t="shared" si="4"/>
        <v/>
      </c>
      <c r="C186" s="67" t="str">
        <f t="shared" si="5"/>
        <v/>
      </c>
    </row>
    <row r="187" spans="2:3" ht="21" x14ac:dyDescent="0.45">
      <c r="B187" s="127" t="str">
        <f t="shared" si="4"/>
        <v/>
      </c>
      <c r="C187" s="67" t="str">
        <f t="shared" si="5"/>
        <v/>
      </c>
    </row>
    <row r="188" spans="2:3" ht="21" x14ac:dyDescent="0.45">
      <c r="B188" s="127" t="str">
        <f t="shared" si="4"/>
        <v/>
      </c>
      <c r="C188" s="67" t="str">
        <f t="shared" si="5"/>
        <v/>
      </c>
    </row>
    <row r="189" spans="2:3" ht="21" x14ac:dyDescent="0.45">
      <c r="B189" s="127" t="str">
        <f t="shared" si="4"/>
        <v/>
      </c>
      <c r="C189" s="67" t="str">
        <f t="shared" si="5"/>
        <v/>
      </c>
    </row>
    <row r="190" spans="2:3" ht="21" x14ac:dyDescent="0.45">
      <c r="B190" s="127" t="str">
        <f t="shared" si="4"/>
        <v/>
      </c>
      <c r="C190" s="67" t="str">
        <f t="shared" si="5"/>
        <v/>
      </c>
    </row>
    <row r="191" spans="2:3" ht="21" x14ac:dyDescent="0.45">
      <c r="B191" s="127" t="str">
        <f t="shared" si="4"/>
        <v/>
      </c>
      <c r="C191" s="67" t="str">
        <f t="shared" si="5"/>
        <v/>
      </c>
    </row>
    <row r="192" spans="2:3" ht="21" x14ac:dyDescent="0.45">
      <c r="B192" s="127" t="str">
        <f t="shared" si="4"/>
        <v/>
      </c>
      <c r="C192" s="67" t="str">
        <f t="shared" si="5"/>
        <v/>
      </c>
    </row>
    <row r="193" spans="2:3" ht="21" x14ac:dyDescent="0.45">
      <c r="B193" s="127" t="str">
        <f t="shared" si="4"/>
        <v/>
      </c>
      <c r="C193" s="67" t="str">
        <f t="shared" si="5"/>
        <v/>
      </c>
    </row>
    <row r="194" spans="2:3" ht="21" x14ac:dyDescent="0.45">
      <c r="B194" s="127" t="str">
        <f t="shared" si="4"/>
        <v/>
      </c>
      <c r="C194" s="67" t="str">
        <f t="shared" si="5"/>
        <v/>
      </c>
    </row>
    <row r="195" spans="2:3" ht="21" x14ac:dyDescent="0.45">
      <c r="B195" s="127" t="str">
        <f t="shared" si="4"/>
        <v/>
      </c>
      <c r="C195" s="67" t="str">
        <f t="shared" si="5"/>
        <v/>
      </c>
    </row>
    <row r="196" spans="2:3" ht="21" x14ac:dyDescent="0.45">
      <c r="B196" s="127" t="str">
        <f t="shared" si="4"/>
        <v/>
      </c>
      <c r="C196" s="67" t="str">
        <f t="shared" si="5"/>
        <v/>
      </c>
    </row>
    <row r="197" spans="2:3" ht="21" x14ac:dyDescent="0.45">
      <c r="B197" s="127" t="str">
        <f t="shared" si="4"/>
        <v/>
      </c>
      <c r="C197" s="67" t="str">
        <f t="shared" si="5"/>
        <v/>
      </c>
    </row>
    <row r="198" spans="2:3" ht="21" x14ac:dyDescent="0.45">
      <c r="B198" s="127" t="str">
        <f t="shared" ref="B198:B261" si="6">IF(ISNUMBER(D198),"...","")</f>
        <v/>
      </c>
      <c r="C198" s="67" t="str">
        <f t="shared" ref="C198:C261" si="7">IF(ISNUMBER(D198),"x","")</f>
        <v/>
      </c>
    </row>
    <row r="199" spans="2:3" ht="21" x14ac:dyDescent="0.45">
      <c r="B199" s="127" t="str">
        <f t="shared" si="6"/>
        <v/>
      </c>
      <c r="C199" s="67" t="str">
        <f t="shared" si="7"/>
        <v/>
      </c>
    </row>
    <row r="200" spans="2:3" ht="21" x14ac:dyDescent="0.45">
      <c r="B200" s="127" t="str">
        <f t="shared" si="6"/>
        <v/>
      </c>
      <c r="C200" s="67" t="str">
        <f t="shared" si="7"/>
        <v/>
      </c>
    </row>
    <row r="201" spans="2:3" ht="21" x14ac:dyDescent="0.45">
      <c r="B201" s="127" t="str">
        <f t="shared" si="6"/>
        <v/>
      </c>
      <c r="C201" s="67" t="str">
        <f t="shared" si="7"/>
        <v/>
      </c>
    </row>
    <row r="202" spans="2:3" ht="21" x14ac:dyDescent="0.45">
      <c r="B202" s="127" t="str">
        <f t="shared" si="6"/>
        <v/>
      </c>
      <c r="C202" s="67" t="str">
        <f t="shared" si="7"/>
        <v/>
      </c>
    </row>
    <row r="203" spans="2:3" ht="21" x14ac:dyDescent="0.45">
      <c r="B203" s="127" t="str">
        <f t="shared" si="6"/>
        <v/>
      </c>
      <c r="C203" s="67" t="str">
        <f t="shared" si="7"/>
        <v/>
      </c>
    </row>
    <row r="204" spans="2:3" ht="21" x14ac:dyDescent="0.45">
      <c r="B204" s="127" t="str">
        <f t="shared" si="6"/>
        <v/>
      </c>
      <c r="C204" s="67" t="str">
        <f t="shared" si="7"/>
        <v/>
      </c>
    </row>
    <row r="205" spans="2:3" ht="21" x14ac:dyDescent="0.45">
      <c r="B205" s="127" t="str">
        <f t="shared" si="6"/>
        <v/>
      </c>
      <c r="C205" s="67" t="str">
        <f t="shared" si="7"/>
        <v/>
      </c>
    </row>
    <row r="206" spans="2:3" ht="21" x14ac:dyDescent="0.45">
      <c r="B206" s="127" t="str">
        <f t="shared" si="6"/>
        <v/>
      </c>
      <c r="C206" s="67" t="str">
        <f t="shared" si="7"/>
        <v/>
      </c>
    </row>
    <row r="207" spans="2:3" ht="21" x14ac:dyDescent="0.45">
      <c r="B207" s="127" t="str">
        <f t="shared" si="6"/>
        <v/>
      </c>
      <c r="C207" s="67" t="str">
        <f t="shared" si="7"/>
        <v/>
      </c>
    </row>
    <row r="208" spans="2:3" ht="21" x14ac:dyDescent="0.45">
      <c r="B208" s="127" t="str">
        <f t="shared" si="6"/>
        <v/>
      </c>
      <c r="C208" s="67" t="str">
        <f t="shared" si="7"/>
        <v/>
      </c>
    </row>
    <row r="209" spans="2:3" ht="21" x14ac:dyDescent="0.45">
      <c r="B209" s="127" t="str">
        <f t="shared" si="6"/>
        <v/>
      </c>
      <c r="C209" s="67" t="str">
        <f t="shared" si="7"/>
        <v/>
      </c>
    </row>
    <row r="210" spans="2:3" ht="21" x14ac:dyDescent="0.45">
      <c r="B210" s="127" t="str">
        <f t="shared" si="6"/>
        <v/>
      </c>
      <c r="C210" s="67" t="str">
        <f t="shared" si="7"/>
        <v/>
      </c>
    </row>
    <row r="211" spans="2:3" ht="21" x14ac:dyDescent="0.45">
      <c r="B211" s="127" t="str">
        <f t="shared" si="6"/>
        <v/>
      </c>
      <c r="C211" s="67" t="str">
        <f t="shared" si="7"/>
        <v/>
      </c>
    </row>
    <row r="212" spans="2:3" ht="21" x14ac:dyDescent="0.45">
      <c r="B212" s="127" t="str">
        <f t="shared" si="6"/>
        <v/>
      </c>
      <c r="C212" s="67" t="str">
        <f t="shared" si="7"/>
        <v/>
      </c>
    </row>
    <row r="213" spans="2:3" ht="21" x14ac:dyDescent="0.45">
      <c r="B213" s="127" t="str">
        <f t="shared" si="6"/>
        <v/>
      </c>
      <c r="C213" s="67" t="str">
        <f t="shared" si="7"/>
        <v/>
      </c>
    </row>
    <row r="214" spans="2:3" ht="21" x14ac:dyDescent="0.45">
      <c r="B214" s="127" t="str">
        <f t="shared" si="6"/>
        <v/>
      </c>
      <c r="C214" s="67" t="str">
        <f t="shared" si="7"/>
        <v/>
      </c>
    </row>
    <row r="215" spans="2:3" ht="21" x14ac:dyDescent="0.45">
      <c r="B215" s="127" t="str">
        <f t="shared" si="6"/>
        <v/>
      </c>
      <c r="C215" s="67" t="str">
        <f t="shared" si="7"/>
        <v/>
      </c>
    </row>
    <row r="216" spans="2:3" ht="21" x14ac:dyDescent="0.45">
      <c r="B216" s="127" t="str">
        <f t="shared" si="6"/>
        <v/>
      </c>
      <c r="C216" s="67" t="str">
        <f t="shared" si="7"/>
        <v/>
      </c>
    </row>
    <row r="217" spans="2:3" ht="21" x14ac:dyDescent="0.45">
      <c r="B217" s="127" t="str">
        <f t="shared" si="6"/>
        <v/>
      </c>
      <c r="C217" s="67" t="str">
        <f t="shared" si="7"/>
        <v/>
      </c>
    </row>
    <row r="218" spans="2:3" ht="21" x14ac:dyDescent="0.45">
      <c r="B218" s="127" t="str">
        <f t="shared" si="6"/>
        <v/>
      </c>
      <c r="C218" s="67" t="str">
        <f t="shared" si="7"/>
        <v/>
      </c>
    </row>
    <row r="219" spans="2:3" ht="21" x14ac:dyDescent="0.45">
      <c r="B219" s="127" t="str">
        <f t="shared" si="6"/>
        <v/>
      </c>
      <c r="C219" s="67" t="str">
        <f t="shared" si="7"/>
        <v/>
      </c>
    </row>
    <row r="220" spans="2:3" ht="21" x14ac:dyDescent="0.45">
      <c r="B220" s="127" t="str">
        <f t="shared" si="6"/>
        <v/>
      </c>
      <c r="C220" s="67" t="str">
        <f t="shared" si="7"/>
        <v/>
      </c>
    </row>
    <row r="221" spans="2:3" ht="21" x14ac:dyDescent="0.45">
      <c r="B221" s="127" t="str">
        <f t="shared" si="6"/>
        <v/>
      </c>
      <c r="C221" s="67" t="str">
        <f t="shared" si="7"/>
        <v/>
      </c>
    </row>
    <row r="222" spans="2:3" ht="21" x14ac:dyDescent="0.45">
      <c r="B222" s="127" t="str">
        <f t="shared" si="6"/>
        <v/>
      </c>
      <c r="C222" s="67" t="str">
        <f t="shared" si="7"/>
        <v/>
      </c>
    </row>
    <row r="223" spans="2:3" ht="21" x14ac:dyDescent="0.45">
      <c r="B223" s="127" t="str">
        <f t="shared" si="6"/>
        <v/>
      </c>
      <c r="C223" s="67" t="str">
        <f t="shared" si="7"/>
        <v/>
      </c>
    </row>
    <row r="224" spans="2:3" ht="21" x14ac:dyDescent="0.45">
      <c r="B224" s="127" t="str">
        <f t="shared" si="6"/>
        <v/>
      </c>
      <c r="C224" s="67" t="str">
        <f t="shared" si="7"/>
        <v/>
      </c>
    </row>
    <row r="225" spans="2:3" ht="21" x14ac:dyDescent="0.45">
      <c r="B225" s="127" t="str">
        <f t="shared" si="6"/>
        <v/>
      </c>
      <c r="C225" s="67" t="str">
        <f t="shared" si="7"/>
        <v/>
      </c>
    </row>
    <row r="226" spans="2:3" ht="21" x14ac:dyDescent="0.45">
      <c r="B226" s="127" t="str">
        <f t="shared" si="6"/>
        <v/>
      </c>
      <c r="C226" s="67" t="str">
        <f t="shared" si="7"/>
        <v/>
      </c>
    </row>
    <row r="227" spans="2:3" ht="21" x14ac:dyDescent="0.45">
      <c r="B227" s="127" t="str">
        <f t="shared" si="6"/>
        <v/>
      </c>
      <c r="C227" s="67" t="str">
        <f t="shared" si="7"/>
        <v/>
      </c>
    </row>
    <row r="228" spans="2:3" ht="21" x14ac:dyDescent="0.45">
      <c r="B228" s="127" t="str">
        <f t="shared" si="6"/>
        <v/>
      </c>
      <c r="C228" s="67" t="str">
        <f t="shared" si="7"/>
        <v/>
      </c>
    </row>
    <row r="229" spans="2:3" ht="21" x14ac:dyDescent="0.45">
      <c r="B229" s="127" t="str">
        <f t="shared" si="6"/>
        <v/>
      </c>
      <c r="C229" s="67" t="str">
        <f t="shared" si="7"/>
        <v/>
      </c>
    </row>
    <row r="230" spans="2:3" ht="21" x14ac:dyDescent="0.45">
      <c r="B230" s="127" t="str">
        <f t="shared" si="6"/>
        <v/>
      </c>
      <c r="C230" s="67" t="str">
        <f t="shared" si="7"/>
        <v/>
      </c>
    </row>
    <row r="231" spans="2:3" ht="21" x14ac:dyDescent="0.45">
      <c r="B231" s="127" t="str">
        <f t="shared" si="6"/>
        <v/>
      </c>
      <c r="C231" s="67" t="str">
        <f t="shared" si="7"/>
        <v/>
      </c>
    </row>
    <row r="232" spans="2:3" ht="21" x14ac:dyDescent="0.45">
      <c r="B232" s="127" t="str">
        <f t="shared" si="6"/>
        <v/>
      </c>
      <c r="C232" s="67" t="str">
        <f t="shared" si="7"/>
        <v/>
      </c>
    </row>
    <row r="233" spans="2:3" ht="21" x14ac:dyDescent="0.45">
      <c r="B233" s="127" t="str">
        <f t="shared" si="6"/>
        <v/>
      </c>
      <c r="C233" s="67" t="str">
        <f t="shared" si="7"/>
        <v/>
      </c>
    </row>
    <row r="234" spans="2:3" ht="21" x14ac:dyDescent="0.45">
      <c r="B234" s="127" t="str">
        <f t="shared" si="6"/>
        <v/>
      </c>
      <c r="C234" s="67" t="str">
        <f t="shared" si="7"/>
        <v/>
      </c>
    </row>
    <row r="235" spans="2:3" ht="21" x14ac:dyDescent="0.45">
      <c r="B235" s="127" t="str">
        <f t="shared" si="6"/>
        <v/>
      </c>
      <c r="C235" s="67" t="str">
        <f t="shared" si="7"/>
        <v/>
      </c>
    </row>
    <row r="236" spans="2:3" ht="21" x14ac:dyDescent="0.45">
      <c r="B236" s="127" t="str">
        <f t="shared" si="6"/>
        <v/>
      </c>
      <c r="C236" s="67" t="str">
        <f t="shared" si="7"/>
        <v/>
      </c>
    </row>
    <row r="237" spans="2:3" ht="21" x14ac:dyDescent="0.45">
      <c r="B237" s="127" t="str">
        <f t="shared" si="6"/>
        <v/>
      </c>
      <c r="C237" s="67" t="str">
        <f t="shared" si="7"/>
        <v/>
      </c>
    </row>
    <row r="238" spans="2:3" ht="21" x14ac:dyDescent="0.45">
      <c r="B238" s="127" t="str">
        <f t="shared" si="6"/>
        <v/>
      </c>
      <c r="C238" s="67" t="str">
        <f t="shared" si="7"/>
        <v/>
      </c>
    </row>
    <row r="239" spans="2:3" ht="21" x14ac:dyDescent="0.45">
      <c r="B239" s="127" t="str">
        <f t="shared" si="6"/>
        <v/>
      </c>
      <c r="C239" s="67" t="str">
        <f t="shared" si="7"/>
        <v/>
      </c>
    </row>
    <row r="240" spans="2:3" ht="21" x14ac:dyDescent="0.45">
      <c r="B240" s="127" t="str">
        <f t="shared" si="6"/>
        <v/>
      </c>
      <c r="C240" s="67" t="str">
        <f t="shared" si="7"/>
        <v/>
      </c>
    </row>
    <row r="241" spans="2:3" ht="21" x14ac:dyDescent="0.45">
      <c r="B241" s="127" t="str">
        <f t="shared" si="6"/>
        <v/>
      </c>
      <c r="C241" s="67" t="str">
        <f t="shared" si="7"/>
        <v/>
      </c>
    </row>
    <row r="242" spans="2:3" ht="21" x14ac:dyDescent="0.45">
      <c r="B242" s="127" t="str">
        <f t="shared" si="6"/>
        <v/>
      </c>
      <c r="C242" s="67" t="str">
        <f t="shared" si="7"/>
        <v/>
      </c>
    </row>
    <row r="243" spans="2:3" ht="21" x14ac:dyDescent="0.45">
      <c r="B243" s="127" t="str">
        <f t="shared" si="6"/>
        <v/>
      </c>
      <c r="C243" s="67" t="str">
        <f t="shared" si="7"/>
        <v/>
      </c>
    </row>
    <row r="244" spans="2:3" ht="21" x14ac:dyDescent="0.45">
      <c r="B244" s="127" t="str">
        <f t="shared" si="6"/>
        <v/>
      </c>
      <c r="C244" s="67" t="str">
        <f t="shared" si="7"/>
        <v/>
      </c>
    </row>
    <row r="245" spans="2:3" ht="21" x14ac:dyDescent="0.45">
      <c r="B245" s="127" t="str">
        <f t="shared" si="6"/>
        <v/>
      </c>
      <c r="C245" s="67" t="str">
        <f t="shared" si="7"/>
        <v/>
      </c>
    </row>
    <row r="246" spans="2:3" ht="21" x14ac:dyDescent="0.45">
      <c r="B246" s="127" t="str">
        <f t="shared" si="6"/>
        <v/>
      </c>
      <c r="C246" s="67" t="str">
        <f t="shared" si="7"/>
        <v/>
      </c>
    </row>
    <row r="247" spans="2:3" ht="21" x14ac:dyDescent="0.45">
      <c r="B247" s="127" t="str">
        <f t="shared" si="6"/>
        <v/>
      </c>
      <c r="C247" s="67" t="str">
        <f t="shared" si="7"/>
        <v/>
      </c>
    </row>
    <row r="248" spans="2:3" ht="21" x14ac:dyDescent="0.45">
      <c r="B248" s="127" t="str">
        <f t="shared" si="6"/>
        <v/>
      </c>
      <c r="C248" s="67" t="str">
        <f t="shared" si="7"/>
        <v/>
      </c>
    </row>
    <row r="249" spans="2:3" ht="21" x14ac:dyDescent="0.45">
      <c r="B249" s="127" t="str">
        <f t="shared" si="6"/>
        <v/>
      </c>
      <c r="C249" s="67" t="str">
        <f t="shared" si="7"/>
        <v/>
      </c>
    </row>
    <row r="250" spans="2:3" ht="21" x14ac:dyDescent="0.45">
      <c r="B250" s="127" t="str">
        <f t="shared" si="6"/>
        <v/>
      </c>
      <c r="C250" s="67" t="str">
        <f t="shared" si="7"/>
        <v/>
      </c>
    </row>
    <row r="251" spans="2:3" ht="21" x14ac:dyDescent="0.45">
      <c r="B251" s="127" t="str">
        <f t="shared" si="6"/>
        <v/>
      </c>
      <c r="C251" s="67" t="str">
        <f t="shared" si="7"/>
        <v/>
      </c>
    </row>
    <row r="252" spans="2:3" ht="21" x14ac:dyDescent="0.45">
      <c r="B252" s="127" t="str">
        <f t="shared" si="6"/>
        <v/>
      </c>
      <c r="C252" s="67" t="str">
        <f t="shared" si="7"/>
        <v/>
      </c>
    </row>
    <row r="253" spans="2:3" ht="21" x14ac:dyDescent="0.45">
      <c r="B253" s="127" t="str">
        <f t="shared" si="6"/>
        <v/>
      </c>
      <c r="C253" s="67" t="str">
        <f t="shared" si="7"/>
        <v/>
      </c>
    </row>
    <row r="254" spans="2:3" ht="21" x14ac:dyDescent="0.45">
      <c r="B254" s="127" t="str">
        <f t="shared" si="6"/>
        <v/>
      </c>
      <c r="C254" s="67" t="str">
        <f t="shared" si="7"/>
        <v/>
      </c>
    </row>
    <row r="255" spans="2:3" ht="21" x14ac:dyDescent="0.45">
      <c r="B255" s="127" t="str">
        <f t="shared" si="6"/>
        <v/>
      </c>
      <c r="C255" s="67" t="str">
        <f t="shared" si="7"/>
        <v/>
      </c>
    </row>
    <row r="256" spans="2:3" ht="21" x14ac:dyDescent="0.45">
      <c r="B256" s="127" t="str">
        <f t="shared" si="6"/>
        <v/>
      </c>
      <c r="C256" s="67" t="str">
        <f t="shared" si="7"/>
        <v/>
      </c>
    </row>
    <row r="257" spans="2:3" ht="21" x14ac:dyDescent="0.45">
      <c r="B257" s="127" t="str">
        <f t="shared" si="6"/>
        <v/>
      </c>
      <c r="C257" s="67" t="str">
        <f t="shared" si="7"/>
        <v/>
      </c>
    </row>
    <row r="258" spans="2:3" ht="21" x14ac:dyDescent="0.45">
      <c r="B258" s="127" t="str">
        <f t="shared" si="6"/>
        <v/>
      </c>
      <c r="C258" s="67" t="str">
        <f t="shared" si="7"/>
        <v/>
      </c>
    </row>
    <row r="259" spans="2:3" ht="21" x14ac:dyDescent="0.45">
      <c r="B259" s="127" t="str">
        <f t="shared" si="6"/>
        <v/>
      </c>
      <c r="C259" s="67" t="str">
        <f t="shared" si="7"/>
        <v/>
      </c>
    </row>
    <row r="260" spans="2:3" ht="21" x14ac:dyDescent="0.45">
      <c r="B260" s="127" t="str">
        <f t="shared" si="6"/>
        <v/>
      </c>
      <c r="C260" s="67" t="str">
        <f t="shared" si="7"/>
        <v/>
      </c>
    </row>
    <row r="261" spans="2:3" ht="21" x14ac:dyDescent="0.45">
      <c r="B261" s="127" t="str">
        <f t="shared" si="6"/>
        <v/>
      </c>
      <c r="C261" s="67" t="str">
        <f t="shared" si="7"/>
        <v/>
      </c>
    </row>
    <row r="262" spans="2:3" ht="21" x14ac:dyDescent="0.45">
      <c r="B262" s="127" t="str">
        <f t="shared" ref="B262:B325" si="8">IF(ISNUMBER(D262),"...","")</f>
        <v/>
      </c>
      <c r="C262" s="67" t="str">
        <f t="shared" ref="C262:C325" si="9">IF(ISNUMBER(D262),"x","")</f>
        <v/>
      </c>
    </row>
    <row r="263" spans="2:3" ht="21" x14ac:dyDescent="0.45">
      <c r="B263" s="127" t="str">
        <f t="shared" si="8"/>
        <v/>
      </c>
      <c r="C263" s="67" t="str">
        <f t="shared" si="9"/>
        <v/>
      </c>
    </row>
    <row r="264" spans="2:3" ht="21" x14ac:dyDescent="0.45">
      <c r="B264" s="127" t="str">
        <f t="shared" si="8"/>
        <v/>
      </c>
      <c r="C264" s="67" t="str">
        <f t="shared" si="9"/>
        <v/>
      </c>
    </row>
    <row r="265" spans="2:3" ht="21" x14ac:dyDescent="0.45">
      <c r="B265" s="127" t="str">
        <f t="shared" si="8"/>
        <v/>
      </c>
      <c r="C265" s="67" t="str">
        <f t="shared" si="9"/>
        <v/>
      </c>
    </row>
    <row r="266" spans="2:3" ht="21" x14ac:dyDescent="0.45">
      <c r="B266" s="127" t="str">
        <f t="shared" si="8"/>
        <v/>
      </c>
      <c r="C266" s="67" t="str">
        <f t="shared" si="9"/>
        <v/>
      </c>
    </row>
    <row r="267" spans="2:3" ht="21" x14ac:dyDescent="0.45">
      <c r="B267" s="127" t="str">
        <f t="shared" si="8"/>
        <v/>
      </c>
      <c r="C267" s="67" t="str">
        <f t="shared" si="9"/>
        <v/>
      </c>
    </row>
    <row r="268" spans="2:3" ht="21" x14ac:dyDescent="0.45">
      <c r="B268" s="127" t="str">
        <f t="shared" si="8"/>
        <v/>
      </c>
      <c r="C268" s="67" t="str">
        <f t="shared" si="9"/>
        <v/>
      </c>
    </row>
    <row r="269" spans="2:3" ht="21" x14ac:dyDescent="0.45">
      <c r="B269" s="127" t="str">
        <f t="shared" si="8"/>
        <v/>
      </c>
      <c r="C269" s="67" t="str">
        <f t="shared" si="9"/>
        <v/>
      </c>
    </row>
    <row r="270" spans="2:3" ht="21" x14ac:dyDescent="0.45">
      <c r="B270" s="127" t="str">
        <f t="shared" si="8"/>
        <v/>
      </c>
      <c r="C270" s="67" t="str">
        <f t="shared" si="9"/>
        <v/>
      </c>
    </row>
    <row r="271" spans="2:3" ht="21" x14ac:dyDescent="0.45">
      <c r="B271" s="127" t="str">
        <f t="shared" si="8"/>
        <v/>
      </c>
      <c r="C271" s="67" t="str">
        <f t="shared" si="9"/>
        <v/>
      </c>
    </row>
    <row r="272" spans="2:3" ht="21" x14ac:dyDescent="0.45">
      <c r="B272" s="127" t="str">
        <f t="shared" si="8"/>
        <v/>
      </c>
      <c r="C272" s="67" t="str">
        <f t="shared" si="9"/>
        <v/>
      </c>
    </row>
    <row r="273" spans="2:3" ht="21" x14ac:dyDescent="0.45">
      <c r="B273" s="127" t="str">
        <f t="shared" si="8"/>
        <v/>
      </c>
      <c r="C273" s="67" t="str">
        <f t="shared" si="9"/>
        <v/>
      </c>
    </row>
    <row r="274" spans="2:3" ht="21" x14ac:dyDescent="0.45">
      <c r="B274" s="127" t="str">
        <f t="shared" si="8"/>
        <v/>
      </c>
      <c r="C274" s="67" t="str">
        <f t="shared" si="9"/>
        <v/>
      </c>
    </row>
    <row r="275" spans="2:3" ht="21" x14ac:dyDescent="0.45">
      <c r="B275" s="127" t="str">
        <f t="shared" si="8"/>
        <v/>
      </c>
      <c r="C275" s="67" t="str">
        <f t="shared" si="9"/>
        <v/>
      </c>
    </row>
    <row r="276" spans="2:3" ht="21" x14ac:dyDescent="0.45">
      <c r="B276" s="127" t="str">
        <f t="shared" si="8"/>
        <v/>
      </c>
      <c r="C276" s="67" t="str">
        <f t="shared" si="9"/>
        <v/>
      </c>
    </row>
    <row r="277" spans="2:3" ht="21" x14ac:dyDescent="0.45">
      <c r="B277" s="127" t="str">
        <f t="shared" si="8"/>
        <v/>
      </c>
      <c r="C277" s="67" t="str">
        <f t="shared" si="9"/>
        <v/>
      </c>
    </row>
    <row r="278" spans="2:3" ht="21" x14ac:dyDescent="0.45">
      <c r="B278" s="127" t="str">
        <f t="shared" si="8"/>
        <v/>
      </c>
      <c r="C278" s="67" t="str">
        <f t="shared" si="9"/>
        <v/>
      </c>
    </row>
    <row r="279" spans="2:3" ht="21" x14ac:dyDescent="0.45">
      <c r="B279" s="127" t="str">
        <f t="shared" si="8"/>
        <v/>
      </c>
      <c r="C279" s="67" t="str">
        <f t="shared" si="9"/>
        <v/>
      </c>
    </row>
    <row r="280" spans="2:3" ht="21" x14ac:dyDescent="0.45">
      <c r="B280" s="127" t="str">
        <f t="shared" si="8"/>
        <v/>
      </c>
      <c r="C280" s="67" t="str">
        <f t="shared" si="9"/>
        <v/>
      </c>
    </row>
    <row r="281" spans="2:3" ht="21" x14ac:dyDescent="0.45">
      <c r="B281" s="127" t="str">
        <f t="shared" si="8"/>
        <v/>
      </c>
      <c r="C281" s="67" t="str">
        <f t="shared" si="9"/>
        <v/>
      </c>
    </row>
    <row r="282" spans="2:3" ht="21" x14ac:dyDescent="0.45">
      <c r="B282" s="127" t="str">
        <f t="shared" si="8"/>
        <v/>
      </c>
      <c r="C282" s="67" t="str">
        <f t="shared" si="9"/>
        <v/>
      </c>
    </row>
    <row r="283" spans="2:3" ht="21" x14ac:dyDescent="0.45">
      <c r="B283" s="127" t="str">
        <f t="shared" si="8"/>
        <v/>
      </c>
      <c r="C283" s="67" t="str">
        <f t="shared" si="9"/>
        <v/>
      </c>
    </row>
    <row r="284" spans="2:3" ht="21" x14ac:dyDescent="0.45">
      <c r="B284" s="127" t="str">
        <f t="shared" si="8"/>
        <v/>
      </c>
      <c r="C284" s="67" t="str">
        <f t="shared" si="9"/>
        <v/>
      </c>
    </row>
    <row r="285" spans="2:3" ht="21" x14ac:dyDescent="0.45">
      <c r="B285" s="127" t="str">
        <f t="shared" si="8"/>
        <v/>
      </c>
      <c r="C285" s="67" t="str">
        <f t="shared" si="9"/>
        <v/>
      </c>
    </row>
    <row r="286" spans="2:3" ht="21" x14ac:dyDescent="0.45">
      <c r="B286" s="127" t="str">
        <f t="shared" si="8"/>
        <v/>
      </c>
      <c r="C286" s="67" t="str">
        <f t="shared" si="9"/>
        <v/>
      </c>
    </row>
    <row r="287" spans="2:3" ht="21" x14ac:dyDescent="0.45">
      <c r="B287" s="127" t="str">
        <f t="shared" si="8"/>
        <v/>
      </c>
      <c r="C287" s="67" t="str">
        <f t="shared" si="9"/>
        <v/>
      </c>
    </row>
    <row r="288" spans="2:3" ht="21" x14ac:dyDescent="0.45">
      <c r="B288" s="127" t="str">
        <f t="shared" si="8"/>
        <v/>
      </c>
      <c r="C288" s="67" t="str">
        <f t="shared" si="9"/>
        <v/>
      </c>
    </row>
    <row r="289" spans="2:3" ht="21" x14ac:dyDescent="0.45">
      <c r="B289" s="127" t="str">
        <f t="shared" si="8"/>
        <v/>
      </c>
      <c r="C289" s="67" t="str">
        <f t="shared" si="9"/>
        <v/>
      </c>
    </row>
    <row r="290" spans="2:3" ht="21" x14ac:dyDescent="0.45">
      <c r="B290" s="127" t="str">
        <f t="shared" si="8"/>
        <v/>
      </c>
      <c r="C290" s="67" t="str">
        <f t="shared" si="9"/>
        <v/>
      </c>
    </row>
    <row r="291" spans="2:3" ht="21" x14ac:dyDescent="0.45">
      <c r="B291" s="127" t="str">
        <f t="shared" si="8"/>
        <v/>
      </c>
      <c r="C291" s="67" t="str">
        <f t="shared" si="9"/>
        <v/>
      </c>
    </row>
    <row r="292" spans="2:3" ht="21" x14ac:dyDescent="0.45">
      <c r="B292" s="127" t="str">
        <f t="shared" si="8"/>
        <v/>
      </c>
      <c r="C292" s="67" t="str">
        <f t="shared" si="9"/>
        <v/>
      </c>
    </row>
    <row r="293" spans="2:3" ht="21" x14ac:dyDescent="0.45">
      <c r="B293" s="127" t="str">
        <f t="shared" si="8"/>
        <v/>
      </c>
      <c r="C293" s="67" t="str">
        <f t="shared" si="9"/>
        <v/>
      </c>
    </row>
    <row r="294" spans="2:3" ht="21" x14ac:dyDescent="0.45">
      <c r="B294" s="127" t="str">
        <f t="shared" si="8"/>
        <v/>
      </c>
      <c r="C294" s="67" t="str">
        <f t="shared" si="9"/>
        <v/>
      </c>
    </row>
    <row r="295" spans="2:3" ht="21" x14ac:dyDescent="0.45">
      <c r="B295" s="127" t="str">
        <f t="shared" si="8"/>
        <v/>
      </c>
      <c r="C295" s="67" t="str">
        <f t="shared" si="9"/>
        <v/>
      </c>
    </row>
    <row r="296" spans="2:3" ht="21" x14ac:dyDescent="0.45">
      <c r="B296" s="127" t="str">
        <f t="shared" si="8"/>
        <v/>
      </c>
      <c r="C296" s="67" t="str">
        <f t="shared" si="9"/>
        <v/>
      </c>
    </row>
    <row r="297" spans="2:3" ht="21" x14ac:dyDescent="0.45">
      <c r="B297" s="127" t="str">
        <f t="shared" si="8"/>
        <v/>
      </c>
      <c r="C297" s="67" t="str">
        <f t="shared" si="9"/>
        <v/>
      </c>
    </row>
    <row r="298" spans="2:3" ht="21" x14ac:dyDescent="0.45">
      <c r="B298" s="127" t="str">
        <f t="shared" si="8"/>
        <v/>
      </c>
      <c r="C298" s="67" t="str">
        <f t="shared" si="9"/>
        <v/>
      </c>
    </row>
    <row r="299" spans="2:3" ht="21" x14ac:dyDescent="0.45">
      <c r="B299" s="127" t="str">
        <f t="shared" si="8"/>
        <v/>
      </c>
      <c r="C299" s="67" t="str">
        <f t="shared" si="9"/>
        <v/>
      </c>
    </row>
    <row r="300" spans="2:3" ht="21" x14ac:dyDescent="0.45">
      <c r="B300" s="127" t="str">
        <f t="shared" si="8"/>
        <v/>
      </c>
      <c r="C300" s="67" t="str">
        <f t="shared" si="9"/>
        <v/>
      </c>
    </row>
    <row r="301" spans="2:3" ht="21" x14ac:dyDescent="0.45">
      <c r="B301" s="127" t="str">
        <f t="shared" si="8"/>
        <v/>
      </c>
      <c r="C301" s="67" t="str">
        <f t="shared" si="9"/>
        <v/>
      </c>
    </row>
    <row r="302" spans="2:3" ht="21" x14ac:dyDescent="0.45">
      <c r="B302" s="127" t="str">
        <f t="shared" si="8"/>
        <v/>
      </c>
      <c r="C302" s="67" t="str">
        <f t="shared" si="9"/>
        <v/>
      </c>
    </row>
    <row r="303" spans="2:3" ht="21" x14ac:dyDescent="0.45">
      <c r="B303" s="127" t="str">
        <f t="shared" si="8"/>
        <v/>
      </c>
      <c r="C303" s="67" t="str">
        <f t="shared" si="9"/>
        <v/>
      </c>
    </row>
    <row r="304" spans="2:3" ht="21" x14ac:dyDescent="0.45">
      <c r="B304" s="127" t="str">
        <f t="shared" si="8"/>
        <v/>
      </c>
      <c r="C304" s="67" t="str">
        <f t="shared" si="9"/>
        <v/>
      </c>
    </row>
    <row r="305" spans="2:3" ht="21" x14ac:dyDescent="0.45">
      <c r="B305" s="127" t="str">
        <f t="shared" si="8"/>
        <v/>
      </c>
      <c r="C305" s="67" t="str">
        <f t="shared" si="9"/>
        <v/>
      </c>
    </row>
    <row r="306" spans="2:3" ht="21" x14ac:dyDescent="0.45">
      <c r="B306" s="127" t="str">
        <f t="shared" si="8"/>
        <v/>
      </c>
      <c r="C306" s="67" t="str">
        <f t="shared" si="9"/>
        <v/>
      </c>
    </row>
    <row r="307" spans="2:3" ht="21" x14ac:dyDescent="0.45">
      <c r="B307" s="127" t="str">
        <f t="shared" si="8"/>
        <v/>
      </c>
      <c r="C307" s="67" t="str">
        <f t="shared" si="9"/>
        <v/>
      </c>
    </row>
    <row r="308" spans="2:3" ht="21" x14ac:dyDescent="0.45">
      <c r="B308" s="127" t="str">
        <f t="shared" si="8"/>
        <v/>
      </c>
      <c r="C308" s="67" t="str">
        <f t="shared" si="9"/>
        <v/>
      </c>
    </row>
    <row r="309" spans="2:3" ht="21" x14ac:dyDescent="0.45">
      <c r="B309" s="127" t="str">
        <f t="shared" si="8"/>
        <v/>
      </c>
      <c r="C309" s="67" t="str">
        <f t="shared" si="9"/>
        <v/>
      </c>
    </row>
    <row r="310" spans="2:3" ht="21" x14ac:dyDescent="0.45">
      <c r="B310" s="127" t="str">
        <f t="shared" si="8"/>
        <v/>
      </c>
      <c r="C310" s="67" t="str">
        <f t="shared" si="9"/>
        <v/>
      </c>
    </row>
    <row r="311" spans="2:3" ht="21" x14ac:dyDescent="0.45">
      <c r="B311" s="127" t="str">
        <f t="shared" si="8"/>
        <v/>
      </c>
      <c r="C311" s="67" t="str">
        <f t="shared" si="9"/>
        <v/>
      </c>
    </row>
    <row r="312" spans="2:3" ht="21" x14ac:dyDescent="0.45">
      <c r="B312" s="127" t="str">
        <f t="shared" si="8"/>
        <v/>
      </c>
      <c r="C312" s="67" t="str">
        <f t="shared" si="9"/>
        <v/>
      </c>
    </row>
    <row r="313" spans="2:3" ht="21" x14ac:dyDescent="0.45">
      <c r="B313" s="127" t="str">
        <f t="shared" si="8"/>
        <v/>
      </c>
      <c r="C313" s="67" t="str">
        <f t="shared" si="9"/>
        <v/>
      </c>
    </row>
    <row r="314" spans="2:3" ht="21" x14ac:dyDescent="0.45">
      <c r="B314" s="127" t="str">
        <f t="shared" si="8"/>
        <v/>
      </c>
      <c r="C314" s="67" t="str">
        <f t="shared" si="9"/>
        <v/>
      </c>
    </row>
    <row r="315" spans="2:3" ht="21" x14ac:dyDescent="0.45">
      <c r="B315" s="127" t="str">
        <f t="shared" si="8"/>
        <v/>
      </c>
      <c r="C315" s="67" t="str">
        <f t="shared" si="9"/>
        <v/>
      </c>
    </row>
    <row r="316" spans="2:3" ht="21" x14ac:dyDescent="0.45">
      <c r="B316" s="127" t="str">
        <f t="shared" si="8"/>
        <v/>
      </c>
      <c r="C316" s="67" t="str">
        <f t="shared" si="9"/>
        <v/>
      </c>
    </row>
    <row r="317" spans="2:3" ht="21" x14ac:dyDescent="0.45">
      <c r="B317" s="127" t="str">
        <f t="shared" si="8"/>
        <v/>
      </c>
      <c r="C317" s="67" t="str">
        <f t="shared" si="9"/>
        <v/>
      </c>
    </row>
    <row r="318" spans="2:3" ht="21" x14ac:dyDescent="0.45">
      <c r="B318" s="127" t="str">
        <f t="shared" si="8"/>
        <v/>
      </c>
      <c r="C318" s="67" t="str">
        <f t="shared" si="9"/>
        <v/>
      </c>
    </row>
    <row r="319" spans="2:3" ht="21" x14ac:dyDescent="0.45">
      <c r="B319" s="127" t="str">
        <f t="shared" si="8"/>
        <v/>
      </c>
      <c r="C319" s="67" t="str">
        <f t="shared" si="9"/>
        <v/>
      </c>
    </row>
    <row r="320" spans="2:3" ht="21" x14ac:dyDescent="0.45">
      <c r="B320" s="127" t="str">
        <f t="shared" si="8"/>
        <v/>
      </c>
      <c r="C320" s="67" t="str">
        <f t="shared" si="9"/>
        <v/>
      </c>
    </row>
    <row r="321" spans="2:3" ht="21" x14ac:dyDescent="0.45">
      <c r="B321" s="127" t="str">
        <f t="shared" si="8"/>
        <v/>
      </c>
      <c r="C321" s="67" t="str">
        <f t="shared" si="9"/>
        <v/>
      </c>
    </row>
    <row r="322" spans="2:3" ht="21" x14ac:dyDescent="0.45">
      <c r="B322" s="127" t="str">
        <f t="shared" si="8"/>
        <v/>
      </c>
      <c r="C322" s="67" t="str">
        <f t="shared" si="9"/>
        <v/>
      </c>
    </row>
    <row r="323" spans="2:3" ht="21" x14ac:dyDescent="0.45">
      <c r="B323" s="127" t="str">
        <f t="shared" si="8"/>
        <v/>
      </c>
      <c r="C323" s="67" t="str">
        <f t="shared" si="9"/>
        <v/>
      </c>
    </row>
    <row r="324" spans="2:3" ht="21" x14ac:dyDescent="0.45">
      <c r="B324" s="127" t="str">
        <f t="shared" si="8"/>
        <v/>
      </c>
      <c r="C324" s="67" t="str">
        <f t="shared" si="9"/>
        <v/>
      </c>
    </row>
    <row r="325" spans="2:3" ht="21" x14ac:dyDescent="0.45">
      <c r="B325" s="127" t="str">
        <f t="shared" si="8"/>
        <v/>
      </c>
      <c r="C325" s="67" t="str">
        <f t="shared" si="9"/>
        <v/>
      </c>
    </row>
    <row r="326" spans="2:3" ht="21" x14ac:dyDescent="0.45">
      <c r="B326" s="127" t="str">
        <f t="shared" ref="B326:B389" si="10">IF(ISNUMBER(D326),"...","")</f>
        <v/>
      </c>
      <c r="C326" s="67" t="str">
        <f t="shared" ref="C326:C389" si="11">IF(ISNUMBER(D326),"x","")</f>
        <v/>
      </c>
    </row>
    <row r="327" spans="2:3" ht="21" x14ac:dyDescent="0.45">
      <c r="B327" s="127" t="str">
        <f t="shared" si="10"/>
        <v/>
      </c>
      <c r="C327" s="67" t="str">
        <f t="shared" si="11"/>
        <v/>
      </c>
    </row>
    <row r="328" spans="2:3" ht="21" x14ac:dyDescent="0.45">
      <c r="B328" s="127" t="str">
        <f t="shared" si="10"/>
        <v/>
      </c>
      <c r="C328" s="67" t="str">
        <f t="shared" si="11"/>
        <v/>
      </c>
    </row>
    <row r="329" spans="2:3" ht="21" x14ac:dyDescent="0.45">
      <c r="B329" s="127" t="str">
        <f t="shared" si="10"/>
        <v/>
      </c>
      <c r="C329" s="67" t="str">
        <f t="shared" si="11"/>
        <v/>
      </c>
    </row>
    <row r="330" spans="2:3" ht="21" x14ac:dyDescent="0.45">
      <c r="B330" s="127" t="str">
        <f t="shared" si="10"/>
        <v/>
      </c>
      <c r="C330" s="67" t="str">
        <f t="shared" si="11"/>
        <v/>
      </c>
    </row>
    <row r="331" spans="2:3" ht="21" x14ac:dyDescent="0.45">
      <c r="B331" s="127" t="str">
        <f t="shared" si="10"/>
        <v/>
      </c>
      <c r="C331" s="67" t="str">
        <f t="shared" si="11"/>
        <v/>
      </c>
    </row>
    <row r="332" spans="2:3" ht="21" x14ac:dyDescent="0.45">
      <c r="B332" s="127" t="str">
        <f t="shared" si="10"/>
        <v/>
      </c>
      <c r="C332" s="67" t="str">
        <f t="shared" si="11"/>
        <v/>
      </c>
    </row>
    <row r="333" spans="2:3" ht="21" x14ac:dyDescent="0.45">
      <c r="B333" s="127" t="str">
        <f t="shared" si="10"/>
        <v/>
      </c>
      <c r="C333" s="67" t="str">
        <f t="shared" si="11"/>
        <v/>
      </c>
    </row>
    <row r="334" spans="2:3" ht="21" x14ac:dyDescent="0.45">
      <c r="B334" s="127" t="str">
        <f t="shared" si="10"/>
        <v/>
      </c>
      <c r="C334" s="67" t="str">
        <f t="shared" si="11"/>
        <v/>
      </c>
    </row>
    <row r="335" spans="2:3" ht="21" x14ac:dyDescent="0.45">
      <c r="B335" s="127" t="str">
        <f t="shared" si="10"/>
        <v/>
      </c>
      <c r="C335" s="67" t="str">
        <f t="shared" si="11"/>
        <v/>
      </c>
    </row>
    <row r="336" spans="2:3" ht="21" x14ac:dyDescent="0.45">
      <c r="B336" s="127" t="str">
        <f t="shared" si="10"/>
        <v/>
      </c>
      <c r="C336" s="67" t="str">
        <f t="shared" si="11"/>
        <v/>
      </c>
    </row>
    <row r="337" spans="2:3" ht="21" x14ac:dyDescent="0.45">
      <c r="B337" s="127" t="str">
        <f t="shared" si="10"/>
        <v/>
      </c>
      <c r="C337" s="67" t="str">
        <f t="shared" si="11"/>
        <v/>
      </c>
    </row>
    <row r="338" spans="2:3" ht="21" x14ac:dyDescent="0.45">
      <c r="B338" s="127" t="str">
        <f t="shared" si="10"/>
        <v/>
      </c>
      <c r="C338" s="67" t="str">
        <f t="shared" si="11"/>
        <v/>
      </c>
    </row>
    <row r="339" spans="2:3" ht="21" x14ac:dyDescent="0.45">
      <c r="B339" s="127" t="str">
        <f t="shared" si="10"/>
        <v/>
      </c>
      <c r="C339" s="67" t="str">
        <f t="shared" si="11"/>
        <v/>
      </c>
    </row>
    <row r="340" spans="2:3" ht="21" x14ac:dyDescent="0.45">
      <c r="B340" s="127" t="str">
        <f t="shared" si="10"/>
        <v/>
      </c>
      <c r="C340" s="67" t="str">
        <f t="shared" si="11"/>
        <v/>
      </c>
    </row>
    <row r="341" spans="2:3" ht="21" x14ac:dyDescent="0.45">
      <c r="B341" s="127" t="str">
        <f t="shared" si="10"/>
        <v/>
      </c>
      <c r="C341" s="67" t="str">
        <f t="shared" si="11"/>
        <v/>
      </c>
    </row>
    <row r="342" spans="2:3" ht="21" x14ac:dyDescent="0.45">
      <c r="B342" s="127" t="str">
        <f t="shared" si="10"/>
        <v/>
      </c>
      <c r="C342" s="67" t="str">
        <f t="shared" si="11"/>
        <v/>
      </c>
    </row>
    <row r="343" spans="2:3" ht="21" x14ac:dyDescent="0.45">
      <c r="B343" s="127" t="str">
        <f t="shared" si="10"/>
        <v/>
      </c>
      <c r="C343" s="67" t="str">
        <f t="shared" si="11"/>
        <v/>
      </c>
    </row>
    <row r="344" spans="2:3" ht="21" x14ac:dyDescent="0.45">
      <c r="B344" s="127" t="str">
        <f t="shared" si="10"/>
        <v/>
      </c>
      <c r="C344" s="67" t="str">
        <f t="shared" si="11"/>
        <v/>
      </c>
    </row>
    <row r="345" spans="2:3" ht="21" x14ac:dyDescent="0.45">
      <c r="B345" s="127" t="str">
        <f t="shared" si="10"/>
        <v/>
      </c>
      <c r="C345" s="67" t="str">
        <f t="shared" si="11"/>
        <v/>
      </c>
    </row>
    <row r="346" spans="2:3" ht="21" x14ac:dyDescent="0.45">
      <c r="B346" s="127" t="str">
        <f t="shared" si="10"/>
        <v/>
      </c>
      <c r="C346" s="67" t="str">
        <f t="shared" si="11"/>
        <v/>
      </c>
    </row>
    <row r="347" spans="2:3" ht="21" x14ac:dyDescent="0.45">
      <c r="B347" s="127" t="str">
        <f t="shared" si="10"/>
        <v/>
      </c>
      <c r="C347" s="67" t="str">
        <f t="shared" si="11"/>
        <v/>
      </c>
    </row>
    <row r="348" spans="2:3" ht="21" x14ac:dyDescent="0.45">
      <c r="B348" s="127" t="str">
        <f t="shared" si="10"/>
        <v/>
      </c>
      <c r="C348" s="67" t="str">
        <f t="shared" si="11"/>
        <v/>
      </c>
    </row>
    <row r="349" spans="2:3" ht="21" x14ac:dyDescent="0.45">
      <c r="B349" s="127" t="str">
        <f t="shared" si="10"/>
        <v/>
      </c>
      <c r="C349" s="67" t="str">
        <f t="shared" si="11"/>
        <v/>
      </c>
    </row>
    <row r="350" spans="2:3" ht="21" x14ac:dyDescent="0.45">
      <c r="B350" s="127" t="str">
        <f t="shared" si="10"/>
        <v/>
      </c>
      <c r="C350" s="67" t="str">
        <f t="shared" si="11"/>
        <v/>
      </c>
    </row>
    <row r="351" spans="2:3" ht="21" x14ac:dyDescent="0.45">
      <c r="B351" s="127" t="str">
        <f t="shared" si="10"/>
        <v/>
      </c>
      <c r="C351" s="67" t="str">
        <f t="shared" si="11"/>
        <v/>
      </c>
    </row>
    <row r="352" spans="2:3" ht="21" x14ac:dyDescent="0.45">
      <c r="B352" s="127" t="str">
        <f t="shared" si="10"/>
        <v/>
      </c>
      <c r="C352" s="67" t="str">
        <f t="shared" si="11"/>
        <v/>
      </c>
    </row>
    <row r="353" spans="2:3" ht="21" x14ac:dyDescent="0.45">
      <c r="B353" s="127" t="str">
        <f t="shared" si="10"/>
        <v/>
      </c>
      <c r="C353" s="67" t="str">
        <f t="shared" si="11"/>
        <v/>
      </c>
    </row>
    <row r="354" spans="2:3" ht="21" x14ac:dyDescent="0.45">
      <c r="B354" s="127" t="str">
        <f t="shared" si="10"/>
        <v/>
      </c>
      <c r="C354" s="67" t="str">
        <f t="shared" si="11"/>
        <v/>
      </c>
    </row>
    <row r="355" spans="2:3" ht="21" x14ac:dyDescent="0.45">
      <c r="B355" s="127" t="str">
        <f t="shared" si="10"/>
        <v/>
      </c>
      <c r="C355" s="67" t="str">
        <f t="shared" si="11"/>
        <v/>
      </c>
    </row>
    <row r="356" spans="2:3" ht="21" x14ac:dyDescent="0.45">
      <c r="B356" s="127" t="str">
        <f t="shared" si="10"/>
        <v/>
      </c>
      <c r="C356" s="67" t="str">
        <f t="shared" si="11"/>
        <v/>
      </c>
    </row>
    <row r="357" spans="2:3" ht="21" x14ac:dyDescent="0.45">
      <c r="B357" s="127" t="str">
        <f t="shared" si="10"/>
        <v/>
      </c>
      <c r="C357" s="67" t="str">
        <f t="shared" si="11"/>
        <v/>
      </c>
    </row>
    <row r="358" spans="2:3" ht="21" x14ac:dyDescent="0.45">
      <c r="B358" s="127" t="str">
        <f t="shared" si="10"/>
        <v/>
      </c>
      <c r="C358" s="67" t="str">
        <f t="shared" si="11"/>
        <v/>
      </c>
    </row>
    <row r="359" spans="2:3" ht="21" x14ac:dyDescent="0.45">
      <c r="B359" s="127" t="str">
        <f t="shared" si="10"/>
        <v/>
      </c>
      <c r="C359" s="67" t="str">
        <f t="shared" si="11"/>
        <v/>
      </c>
    </row>
    <row r="360" spans="2:3" ht="21" x14ac:dyDescent="0.45">
      <c r="B360" s="127" t="str">
        <f t="shared" si="10"/>
        <v/>
      </c>
      <c r="C360" s="67" t="str">
        <f t="shared" si="11"/>
        <v/>
      </c>
    </row>
    <row r="361" spans="2:3" ht="21" x14ac:dyDescent="0.45">
      <c r="B361" s="127" t="str">
        <f t="shared" si="10"/>
        <v/>
      </c>
      <c r="C361" s="67" t="str">
        <f t="shared" si="11"/>
        <v/>
      </c>
    </row>
    <row r="362" spans="2:3" ht="21" x14ac:dyDescent="0.45">
      <c r="B362" s="127" t="str">
        <f t="shared" si="10"/>
        <v/>
      </c>
      <c r="C362" s="67" t="str">
        <f t="shared" si="11"/>
        <v/>
      </c>
    </row>
    <row r="363" spans="2:3" ht="21" x14ac:dyDescent="0.45">
      <c r="B363" s="127" t="str">
        <f t="shared" si="10"/>
        <v/>
      </c>
      <c r="C363" s="67" t="str">
        <f t="shared" si="11"/>
        <v/>
      </c>
    </row>
    <row r="364" spans="2:3" ht="21" x14ac:dyDescent="0.45">
      <c r="B364" s="127" t="str">
        <f t="shared" si="10"/>
        <v/>
      </c>
      <c r="C364" s="67" t="str">
        <f t="shared" si="11"/>
        <v/>
      </c>
    </row>
    <row r="365" spans="2:3" ht="21" x14ac:dyDescent="0.45">
      <c r="B365" s="127" t="str">
        <f t="shared" si="10"/>
        <v/>
      </c>
      <c r="C365" s="67" t="str">
        <f t="shared" si="11"/>
        <v/>
      </c>
    </row>
    <row r="366" spans="2:3" ht="21" x14ac:dyDescent="0.45">
      <c r="B366" s="127" t="str">
        <f t="shared" si="10"/>
        <v/>
      </c>
      <c r="C366" s="67" t="str">
        <f t="shared" si="11"/>
        <v/>
      </c>
    </row>
    <row r="367" spans="2:3" ht="21" x14ac:dyDescent="0.45">
      <c r="B367" s="127" t="str">
        <f t="shared" si="10"/>
        <v/>
      </c>
      <c r="C367" s="67" t="str">
        <f t="shared" si="11"/>
        <v/>
      </c>
    </row>
    <row r="368" spans="2:3" ht="21" x14ac:dyDescent="0.45">
      <c r="B368" s="127" t="str">
        <f t="shared" si="10"/>
        <v/>
      </c>
      <c r="C368" s="67" t="str">
        <f t="shared" si="11"/>
        <v/>
      </c>
    </row>
    <row r="369" spans="2:3" ht="21" x14ac:dyDescent="0.45">
      <c r="B369" s="127" t="str">
        <f t="shared" si="10"/>
        <v/>
      </c>
      <c r="C369" s="67" t="str">
        <f t="shared" si="11"/>
        <v/>
      </c>
    </row>
    <row r="370" spans="2:3" ht="21" x14ac:dyDescent="0.45">
      <c r="B370" s="127" t="str">
        <f t="shared" si="10"/>
        <v/>
      </c>
      <c r="C370" s="67" t="str">
        <f t="shared" si="11"/>
        <v/>
      </c>
    </row>
    <row r="371" spans="2:3" ht="21" x14ac:dyDescent="0.45">
      <c r="B371" s="127" t="str">
        <f t="shared" si="10"/>
        <v/>
      </c>
      <c r="C371" s="67" t="str">
        <f t="shared" si="11"/>
        <v/>
      </c>
    </row>
    <row r="372" spans="2:3" ht="21" x14ac:dyDescent="0.45">
      <c r="B372" s="127" t="str">
        <f t="shared" si="10"/>
        <v/>
      </c>
      <c r="C372" s="67" t="str">
        <f t="shared" si="11"/>
        <v/>
      </c>
    </row>
    <row r="373" spans="2:3" ht="21" x14ac:dyDescent="0.45">
      <c r="B373" s="127" t="str">
        <f t="shared" si="10"/>
        <v/>
      </c>
      <c r="C373" s="67" t="str">
        <f t="shared" si="11"/>
        <v/>
      </c>
    </row>
    <row r="374" spans="2:3" ht="21" x14ac:dyDescent="0.45">
      <c r="B374" s="127" t="str">
        <f t="shared" si="10"/>
        <v/>
      </c>
      <c r="C374" s="67" t="str">
        <f t="shared" si="11"/>
        <v/>
      </c>
    </row>
    <row r="375" spans="2:3" ht="21" x14ac:dyDescent="0.45">
      <c r="B375" s="127" t="str">
        <f t="shared" si="10"/>
        <v/>
      </c>
      <c r="C375" s="67" t="str">
        <f t="shared" si="11"/>
        <v/>
      </c>
    </row>
    <row r="376" spans="2:3" ht="21" x14ac:dyDescent="0.45">
      <c r="B376" s="127" t="str">
        <f t="shared" si="10"/>
        <v/>
      </c>
      <c r="C376" s="67" t="str">
        <f t="shared" si="11"/>
        <v/>
      </c>
    </row>
    <row r="377" spans="2:3" ht="21" x14ac:dyDescent="0.45">
      <c r="B377" s="127" t="str">
        <f t="shared" si="10"/>
        <v/>
      </c>
      <c r="C377" s="67" t="str">
        <f t="shared" si="11"/>
        <v/>
      </c>
    </row>
    <row r="378" spans="2:3" ht="21" x14ac:dyDescent="0.45">
      <c r="B378" s="127" t="str">
        <f t="shared" si="10"/>
        <v/>
      </c>
      <c r="C378" s="67" t="str">
        <f t="shared" si="11"/>
        <v/>
      </c>
    </row>
    <row r="379" spans="2:3" ht="21" x14ac:dyDescent="0.45">
      <c r="B379" s="127" t="str">
        <f t="shared" si="10"/>
        <v/>
      </c>
      <c r="C379" s="67" t="str">
        <f t="shared" si="11"/>
        <v/>
      </c>
    </row>
    <row r="380" spans="2:3" ht="21" x14ac:dyDescent="0.45">
      <c r="B380" s="127" t="str">
        <f t="shared" si="10"/>
        <v/>
      </c>
      <c r="C380" s="67" t="str">
        <f t="shared" si="11"/>
        <v/>
      </c>
    </row>
    <row r="381" spans="2:3" ht="21" x14ac:dyDescent="0.45">
      <c r="B381" s="127" t="str">
        <f t="shared" si="10"/>
        <v/>
      </c>
      <c r="C381" s="67" t="str">
        <f t="shared" si="11"/>
        <v/>
      </c>
    </row>
    <row r="382" spans="2:3" ht="21" x14ac:dyDescent="0.45">
      <c r="B382" s="127" t="str">
        <f t="shared" si="10"/>
        <v/>
      </c>
      <c r="C382" s="67" t="str">
        <f t="shared" si="11"/>
        <v/>
      </c>
    </row>
    <row r="383" spans="2:3" ht="21" x14ac:dyDescent="0.45">
      <c r="B383" s="127" t="str">
        <f t="shared" si="10"/>
        <v/>
      </c>
      <c r="C383" s="67" t="str">
        <f t="shared" si="11"/>
        <v/>
      </c>
    </row>
    <row r="384" spans="2:3" ht="21" x14ac:dyDescent="0.45">
      <c r="B384" s="127" t="str">
        <f t="shared" si="10"/>
        <v/>
      </c>
      <c r="C384" s="67" t="str">
        <f t="shared" si="11"/>
        <v/>
      </c>
    </row>
    <row r="385" spans="2:3" ht="21" x14ac:dyDescent="0.45">
      <c r="B385" s="127" t="str">
        <f t="shared" si="10"/>
        <v/>
      </c>
      <c r="C385" s="67" t="str">
        <f t="shared" si="11"/>
        <v/>
      </c>
    </row>
    <row r="386" spans="2:3" ht="21" x14ac:dyDescent="0.45">
      <c r="B386" s="127" t="str">
        <f t="shared" si="10"/>
        <v/>
      </c>
      <c r="C386" s="67" t="str">
        <f t="shared" si="11"/>
        <v/>
      </c>
    </row>
    <row r="387" spans="2:3" ht="21" x14ac:dyDescent="0.45">
      <c r="B387" s="127" t="str">
        <f t="shared" si="10"/>
        <v/>
      </c>
      <c r="C387" s="67" t="str">
        <f t="shared" si="11"/>
        <v/>
      </c>
    </row>
    <row r="388" spans="2:3" ht="21" x14ac:dyDescent="0.45">
      <c r="B388" s="127" t="str">
        <f t="shared" si="10"/>
        <v/>
      </c>
      <c r="C388" s="67" t="str">
        <f t="shared" si="11"/>
        <v/>
      </c>
    </row>
    <row r="389" spans="2:3" ht="21" x14ac:dyDescent="0.45">
      <c r="B389" s="127" t="str">
        <f t="shared" si="10"/>
        <v/>
      </c>
      <c r="C389" s="67" t="str">
        <f t="shared" si="11"/>
        <v/>
      </c>
    </row>
    <row r="390" spans="2:3" ht="21" x14ac:dyDescent="0.45">
      <c r="B390" s="127" t="str">
        <f t="shared" ref="B390:B453" si="12">IF(ISNUMBER(D390),"...","")</f>
        <v/>
      </c>
      <c r="C390" s="67" t="str">
        <f t="shared" ref="C390:C453" si="13">IF(ISNUMBER(D390),"x","")</f>
        <v/>
      </c>
    </row>
    <row r="391" spans="2:3" ht="21" x14ac:dyDescent="0.45">
      <c r="B391" s="127" t="str">
        <f t="shared" si="12"/>
        <v/>
      </c>
      <c r="C391" s="67" t="str">
        <f t="shared" si="13"/>
        <v/>
      </c>
    </row>
    <row r="392" spans="2:3" ht="21" x14ac:dyDescent="0.45">
      <c r="B392" s="127" t="str">
        <f t="shared" si="12"/>
        <v/>
      </c>
      <c r="C392" s="67" t="str">
        <f t="shared" si="13"/>
        <v/>
      </c>
    </row>
    <row r="393" spans="2:3" ht="21" x14ac:dyDescent="0.45">
      <c r="B393" s="127" t="str">
        <f t="shared" si="12"/>
        <v/>
      </c>
      <c r="C393" s="67" t="str">
        <f t="shared" si="13"/>
        <v/>
      </c>
    </row>
    <row r="394" spans="2:3" ht="21" x14ac:dyDescent="0.45">
      <c r="B394" s="127" t="str">
        <f t="shared" si="12"/>
        <v/>
      </c>
      <c r="C394" s="67" t="str">
        <f t="shared" si="13"/>
        <v/>
      </c>
    </row>
    <row r="395" spans="2:3" ht="21" x14ac:dyDescent="0.45">
      <c r="B395" s="127" t="str">
        <f t="shared" si="12"/>
        <v/>
      </c>
      <c r="C395" s="67" t="str">
        <f t="shared" si="13"/>
        <v/>
      </c>
    </row>
    <row r="396" spans="2:3" ht="21" x14ac:dyDescent="0.45">
      <c r="B396" s="127" t="str">
        <f t="shared" si="12"/>
        <v/>
      </c>
      <c r="C396" s="67" t="str">
        <f t="shared" si="13"/>
        <v/>
      </c>
    </row>
    <row r="397" spans="2:3" ht="21" x14ac:dyDescent="0.45">
      <c r="B397" s="127" t="str">
        <f t="shared" si="12"/>
        <v/>
      </c>
      <c r="C397" s="67" t="str">
        <f t="shared" si="13"/>
        <v/>
      </c>
    </row>
    <row r="398" spans="2:3" ht="21" x14ac:dyDescent="0.45">
      <c r="B398" s="127" t="str">
        <f t="shared" si="12"/>
        <v/>
      </c>
      <c r="C398" s="67" t="str">
        <f t="shared" si="13"/>
        <v/>
      </c>
    </row>
    <row r="399" spans="2:3" ht="21" x14ac:dyDescent="0.45">
      <c r="B399" s="127" t="str">
        <f t="shared" si="12"/>
        <v/>
      </c>
      <c r="C399" s="67" t="str">
        <f t="shared" si="13"/>
        <v/>
      </c>
    </row>
    <row r="400" spans="2:3" ht="21" x14ac:dyDescent="0.45">
      <c r="B400" s="127" t="str">
        <f t="shared" si="12"/>
        <v/>
      </c>
      <c r="C400" s="67" t="str">
        <f t="shared" si="13"/>
        <v/>
      </c>
    </row>
    <row r="401" spans="2:3" ht="21" x14ac:dyDescent="0.45">
      <c r="B401" s="127" t="str">
        <f t="shared" si="12"/>
        <v/>
      </c>
      <c r="C401" s="67" t="str">
        <f t="shared" si="13"/>
        <v/>
      </c>
    </row>
    <row r="402" spans="2:3" ht="21" x14ac:dyDescent="0.45">
      <c r="B402" s="127" t="str">
        <f t="shared" si="12"/>
        <v/>
      </c>
      <c r="C402" s="67" t="str">
        <f t="shared" si="13"/>
        <v/>
      </c>
    </row>
    <row r="403" spans="2:3" ht="21" x14ac:dyDescent="0.45">
      <c r="B403" s="127" t="str">
        <f t="shared" si="12"/>
        <v/>
      </c>
      <c r="C403" s="67" t="str">
        <f t="shared" si="13"/>
        <v/>
      </c>
    </row>
    <row r="404" spans="2:3" ht="21" x14ac:dyDescent="0.45">
      <c r="B404" s="127" t="str">
        <f t="shared" si="12"/>
        <v/>
      </c>
      <c r="C404" s="67" t="str">
        <f t="shared" si="13"/>
        <v/>
      </c>
    </row>
    <row r="405" spans="2:3" ht="21" x14ac:dyDescent="0.45">
      <c r="B405" s="127" t="str">
        <f t="shared" si="12"/>
        <v/>
      </c>
      <c r="C405" s="67" t="str">
        <f t="shared" si="13"/>
        <v/>
      </c>
    </row>
    <row r="406" spans="2:3" ht="21" x14ac:dyDescent="0.45">
      <c r="B406" s="127" t="str">
        <f t="shared" si="12"/>
        <v/>
      </c>
      <c r="C406" s="67" t="str">
        <f t="shared" si="13"/>
        <v/>
      </c>
    </row>
    <row r="407" spans="2:3" ht="21" x14ac:dyDescent="0.45">
      <c r="B407" s="127" t="str">
        <f t="shared" si="12"/>
        <v/>
      </c>
      <c r="C407" s="67" t="str">
        <f t="shared" si="13"/>
        <v/>
      </c>
    </row>
    <row r="408" spans="2:3" ht="21" x14ac:dyDescent="0.45">
      <c r="B408" s="127" t="str">
        <f t="shared" si="12"/>
        <v/>
      </c>
      <c r="C408" s="67" t="str">
        <f t="shared" si="13"/>
        <v/>
      </c>
    </row>
    <row r="409" spans="2:3" ht="21" x14ac:dyDescent="0.45">
      <c r="B409" s="127" t="str">
        <f t="shared" si="12"/>
        <v/>
      </c>
      <c r="C409" s="67" t="str">
        <f t="shared" si="13"/>
        <v/>
      </c>
    </row>
    <row r="410" spans="2:3" ht="21" x14ac:dyDescent="0.45">
      <c r="B410" s="127" t="str">
        <f t="shared" si="12"/>
        <v/>
      </c>
      <c r="C410" s="67" t="str">
        <f t="shared" si="13"/>
        <v/>
      </c>
    </row>
    <row r="411" spans="2:3" ht="21" x14ac:dyDescent="0.45">
      <c r="B411" s="127" t="str">
        <f t="shared" si="12"/>
        <v/>
      </c>
      <c r="C411" s="67" t="str">
        <f t="shared" si="13"/>
        <v/>
      </c>
    </row>
    <row r="412" spans="2:3" ht="21" x14ac:dyDescent="0.45">
      <c r="B412" s="127" t="str">
        <f t="shared" si="12"/>
        <v/>
      </c>
      <c r="C412" s="67" t="str">
        <f t="shared" si="13"/>
        <v/>
      </c>
    </row>
    <row r="413" spans="2:3" ht="21" x14ac:dyDescent="0.45">
      <c r="B413" s="127" t="str">
        <f t="shared" si="12"/>
        <v/>
      </c>
      <c r="C413" s="67" t="str">
        <f t="shared" si="13"/>
        <v/>
      </c>
    </row>
    <row r="414" spans="2:3" ht="21" x14ac:dyDescent="0.45">
      <c r="B414" s="127" t="str">
        <f t="shared" si="12"/>
        <v/>
      </c>
      <c r="C414" s="67" t="str">
        <f t="shared" si="13"/>
        <v/>
      </c>
    </row>
    <row r="415" spans="2:3" ht="21" x14ac:dyDescent="0.45">
      <c r="B415" s="127" t="str">
        <f t="shared" si="12"/>
        <v/>
      </c>
      <c r="C415" s="67" t="str">
        <f t="shared" si="13"/>
        <v/>
      </c>
    </row>
    <row r="416" spans="2:3" ht="21" x14ac:dyDescent="0.45">
      <c r="B416" s="127" t="str">
        <f t="shared" si="12"/>
        <v/>
      </c>
      <c r="C416" s="67" t="str">
        <f t="shared" si="13"/>
        <v/>
      </c>
    </row>
    <row r="417" spans="2:3" ht="21" x14ac:dyDescent="0.45">
      <c r="B417" s="127" t="str">
        <f t="shared" si="12"/>
        <v/>
      </c>
      <c r="C417" s="67" t="str">
        <f t="shared" si="13"/>
        <v/>
      </c>
    </row>
    <row r="418" spans="2:3" ht="21" x14ac:dyDescent="0.45">
      <c r="B418" s="127" t="str">
        <f t="shared" si="12"/>
        <v/>
      </c>
      <c r="C418" s="67" t="str">
        <f t="shared" si="13"/>
        <v/>
      </c>
    </row>
    <row r="419" spans="2:3" ht="21" x14ac:dyDescent="0.45">
      <c r="B419" s="127" t="str">
        <f t="shared" si="12"/>
        <v/>
      </c>
      <c r="C419" s="67" t="str">
        <f t="shared" si="13"/>
        <v/>
      </c>
    </row>
    <row r="420" spans="2:3" ht="21" x14ac:dyDescent="0.45">
      <c r="B420" s="127" t="str">
        <f t="shared" si="12"/>
        <v/>
      </c>
      <c r="C420" s="67" t="str">
        <f t="shared" si="13"/>
        <v/>
      </c>
    </row>
    <row r="421" spans="2:3" ht="21" x14ac:dyDescent="0.45">
      <c r="B421" s="127" t="str">
        <f t="shared" si="12"/>
        <v/>
      </c>
      <c r="C421" s="67" t="str">
        <f t="shared" si="13"/>
        <v/>
      </c>
    </row>
    <row r="422" spans="2:3" ht="21" x14ac:dyDescent="0.45">
      <c r="B422" s="127" t="str">
        <f t="shared" si="12"/>
        <v/>
      </c>
      <c r="C422" s="67" t="str">
        <f t="shared" si="13"/>
        <v/>
      </c>
    </row>
    <row r="423" spans="2:3" ht="21" x14ac:dyDescent="0.45">
      <c r="B423" s="127" t="str">
        <f t="shared" si="12"/>
        <v/>
      </c>
      <c r="C423" s="67" t="str">
        <f t="shared" si="13"/>
        <v/>
      </c>
    </row>
    <row r="424" spans="2:3" ht="21" x14ac:dyDescent="0.45">
      <c r="B424" s="127" t="str">
        <f t="shared" si="12"/>
        <v/>
      </c>
      <c r="C424" s="67" t="str">
        <f t="shared" si="13"/>
        <v/>
      </c>
    </row>
    <row r="425" spans="2:3" ht="21" x14ac:dyDescent="0.45">
      <c r="B425" s="127" t="str">
        <f t="shared" si="12"/>
        <v/>
      </c>
      <c r="C425" s="67" t="str">
        <f t="shared" si="13"/>
        <v/>
      </c>
    </row>
    <row r="426" spans="2:3" ht="21" x14ac:dyDescent="0.45">
      <c r="B426" s="127" t="str">
        <f t="shared" si="12"/>
        <v/>
      </c>
      <c r="C426" s="67" t="str">
        <f t="shared" si="13"/>
        <v/>
      </c>
    </row>
    <row r="427" spans="2:3" ht="21" x14ac:dyDescent="0.45">
      <c r="B427" s="127" t="str">
        <f t="shared" si="12"/>
        <v/>
      </c>
      <c r="C427" s="67" t="str">
        <f t="shared" si="13"/>
        <v/>
      </c>
    </row>
    <row r="428" spans="2:3" ht="21" x14ac:dyDescent="0.45">
      <c r="B428" s="127" t="str">
        <f t="shared" si="12"/>
        <v/>
      </c>
      <c r="C428" s="67" t="str">
        <f t="shared" si="13"/>
        <v/>
      </c>
    </row>
    <row r="429" spans="2:3" ht="21" x14ac:dyDescent="0.45">
      <c r="B429" s="127" t="str">
        <f t="shared" si="12"/>
        <v/>
      </c>
      <c r="C429" s="67" t="str">
        <f t="shared" si="13"/>
        <v/>
      </c>
    </row>
    <row r="430" spans="2:3" ht="21" x14ac:dyDescent="0.45">
      <c r="B430" s="127" t="str">
        <f t="shared" si="12"/>
        <v/>
      </c>
      <c r="C430" s="67" t="str">
        <f t="shared" si="13"/>
        <v/>
      </c>
    </row>
    <row r="431" spans="2:3" ht="21" x14ac:dyDescent="0.45">
      <c r="B431" s="127" t="str">
        <f t="shared" si="12"/>
        <v/>
      </c>
      <c r="C431" s="67" t="str">
        <f t="shared" si="13"/>
        <v/>
      </c>
    </row>
    <row r="432" spans="2:3" ht="21" x14ac:dyDescent="0.45">
      <c r="B432" s="127" t="str">
        <f t="shared" si="12"/>
        <v/>
      </c>
      <c r="C432" s="67" t="str">
        <f t="shared" si="13"/>
        <v/>
      </c>
    </row>
    <row r="433" spans="2:3" ht="21" x14ac:dyDescent="0.45">
      <c r="B433" s="127" t="str">
        <f t="shared" si="12"/>
        <v/>
      </c>
      <c r="C433" s="67" t="str">
        <f t="shared" si="13"/>
        <v/>
      </c>
    </row>
    <row r="434" spans="2:3" ht="21" x14ac:dyDescent="0.45">
      <c r="B434" s="127" t="str">
        <f t="shared" si="12"/>
        <v/>
      </c>
      <c r="C434" s="67" t="str">
        <f t="shared" si="13"/>
        <v/>
      </c>
    </row>
    <row r="435" spans="2:3" ht="21" x14ac:dyDescent="0.45">
      <c r="B435" s="127" t="str">
        <f t="shared" si="12"/>
        <v/>
      </c>
      <c r="C435" s="67" t="str">
        <f t="shared" si="13"/>
        <v/>
      </c>
    </row>
    <row r="436" spans="2:3" ht="21" x14ac:dyDescent="0.45">
      <c r="B436" s="127" t="str">
        <f t="shared" si="12"/>
        <v/>
      </c>
      <c r="C436" s="67" t="str">
        <f t="shared" si="13"/>
        <v/>
      </c>
    </row>
    <row r="437" spans="2:3" ht="21" x14ac:dyDescent="0.45">
      <c r="B437" s="127" t="str">
        <f t="shared" si="12"/>
        <v/>
      </c>
      <c r="C437" s="67" t="str">
        <f t="shared" si="13"/>
        <v/>
      </c>
    </row>
    <row r="438" spans="2:3" ht="21" x14ac:dyDescent="0.45">
      <c r="B438" s="127" t="str">
        <f t="shared" si="12"/>
        <v/>
      </c>
      <c r="C438" s="67" t="str">
        <f t="shared" si="13"/>
        <v/>
      </c>
    </row>
    <row r="439" spans="2:3" ht="21" x14ac:dyDescent="0.45">
      <c r="B439" s="127" t="str">
        <f t="shared" si="12"/>
        <v/>
      </c>
      <c r="C439" s="67" t="str">
        <f t="shared" si="13"/>
        <v/>
      </c>
    </row>
    <row r="440" spans="2:3" ht="21" x14ac:dyDescent="0.45">
      <c r="B440" s="127" t="str">
        <f t="shared" si="12"/>
        <v/>
      </c>
      <c r="C440" s="67" t="str">
        <f t="shared" si="13"/>
        <v/>
      </c>
    </row>
    <row r="441" spans="2:3" ht="21" x14ac:dyDescent="0.45">
      <c r="B441" s="127" t="str">
        <f t="shared" si="12"/>
        <v/>
      </c>
      <c r="C441" s="67" t="str">
        <f t="shared" si="13"/>
        <v/>
      </c>
    </row>
    <row r="442" spans="2:3" ht="21" x14ac:dyDescent="0.45">
      <c r="B442" s="127" t="str">
        <f t="shared" si="12"/>
        <v/>
      </c>
      <c r="C442" s="67" t="str">
        <f t="shared" si="13"/>
        <v/>
      </c>
    </row>
    <row r="443" spans="2:3" ht="21" x14ac:dyDescent="0.45">
      <c r="B443" s="127" t="str">
        <f t="shared" si="12"/>
        <v/>
      </c>
      <c r="C443" s="67" t="str">
        <f t="shared" si="13"/>
        <v/>
      </c>
    </row>
    <row r="444" spans="2:3" ht="21" x14ac:dyDescent="0.45">
      <c r="B444" s="127" t="str">
        <f t="shared" si="12"/>
        <v/>
      </c>
      <c r="C444" s="67" t="str">
        <f t="shared" si="13"/>
        <v/>
      </c>
    </row>
    <row r="445" spans="2:3" ht="21" x14ac:dyDescent="0.45">
      <c r="B445" s="127" t="str">
        <f t="shared" si="12"/>
        <v/>
      </c>
      <c r="C445" s="67" t="str">
        <f t="shared" si="13"/>
        <v/>
      </c>
    </row>
    <row r="446" spans="2:3" ht="21" x14ac:dyDescent="0.45">
      <c r="B446" s="127" t="str">
        <f t="shared" si="12"/>
        <v/>
      </c>
      <c r="C446" s="67" t="str">
        <f t="shared" si="13"/>
        <v/>
      </c>
    </row>
    <row r="447" spans="2:3" ht="21" x14ac:dyDescent="0.45">
      <c r="B447" s="127" t="str">
        <f t="shared" si="12"/>
        <v/>
      </c>
      <c r="C447" s="67" t="str">
        <f t="shared" si="13"/>
        <v/>
      </c>
    </row>
    <row r="448" spans="2:3" ht="21" x14ac:dyDescent="0.45">
      <c r="B448" s="127" t="str">
        <f t="shared" si="12"/>
        <v/>
      </c>
      <c r="C448" s="67" t="str">
        <f t="shared" si="13"/>
        <v/>
      </c>
    </row>
    <row r="449" spans="2:3" ht="21" x14ac:dyDescent="0.45">
      <c r="B449" s="127" t="str">
        <f t="shared" si="12"/>
        <v/>
      </c>
      <c r="C449" s="67" t="str">
        <f t="shared" si="13"/>
        <v/>
      </c>
    </row>
    <row r="450" spans="2:3" ht="21" x14ac:dyDescent="0.45">
      <c r="B450" s="127" t="str">
        <f t="shared" si="12"/>
        <v/>
      </c>
      <c r="C450" s="67" t="str">
        <f t="shared" si="13"/>
        <v/>
      </c>
    </row>
    <row r="451" spans="2:3" ht="21" x14ac:dyDescent="0.45">
      <c r="B451" s="127" t="str">
        <f t="shared" si="12"/>
        <v/>
      </c>
      <c r="C451" s="67" t="str">
        <f t="shared" si="13"/>
        <v/>
      </c>
    </row>
    <row r="452" spans="2:3" ht="21" x14ac:dyDescent="0.45">
      <c r="B452" s="127" t="str">
        <f t="shared" si="12"/>
        <v/>
      </c>
      <c r="C452" s="67" t="str">
        <f t="shared" si="13"/>
        <v/>
      </c>
    </row>
    <row r="453" spans="2:3" ht="21" x14ac:dyDescent="0.45">
      <c r="B453" s="127" t="str">
        <f t="shared" si="12"/>
        <v/>
      </c>
      <c r="C453" s="67" t="str">
        <f t="shared" si="13"/>
        <v/>
      </c>
    </row>
    <row r="454" spans="2:3" ht="21" x14ac:dyDescent="0.45">
      <c r="B454" s="127" t="str">
        <f t="shared" ref="B454:B517" si="14">IF(ISNUMBER(D454),"...","")</f>
        <v/>
      </c>
      <c r="C454" s="67" t="str">
        <f t="shared" ref="C454:C517" si="15">IF(ISNUMBER(D454),"x","")</f>
        <v/>
      </c>
    </row>
    <row r="455" spans="2:3" ht="21" x14ac:dyDescent="0.45">
      <c r="B455" s="127" t="str">
        <f t="shared" si="14"/>
        <v/>
      </c>
      <c r="C455" s="67" t="str">
        <f t="shared" si="15"/>
        <v/>
      </c>
    </row>
    <row r="456" spans="2:3" ht="21" x14ac:dyDescent="0.45">
      <c r="B456" s="127" t="str">
        <f t="shared" si="14"/>
        <v/>
      </c>
      <c r="C456" s="67" t="str">
        <f t="shared" si="15"/>
        <v/>
      </c>
    </row>
    <row r="457" spans="2:3" ht="21" x14ac:dyDescent="0.45">
      <c r="B457" s="127" t="str">
        <f t="shared" si="14"/>
        <v/>
      </c>
      <c r="C457" s="67" t="str">
        <f t="shared" si="15"/>
        <v/>
      </c>
    </row>
    <row r="458" spans="2:3" ht="21" x14ac:dyDescent="0.45">
      <c r="B458" s="127" t="str">
        <f t="shared" si="14"/>
        <v/>
      </c>
      <c r="C458" s="67" t="str">
        <f t="shared" si="15"/>
        <v/>
      </c>
    </row>
    <row r="459" spans="2:3" ht="21" x14ac:dyDescent="0.45">
      <c r="B459" s="127" t="str">
        <f t="shared" si="14"/>
        <v/>
      </c>
      <c r="C459" s="67" t="str">
        <f t="shared" si="15"/>
        <v/>
      </c>
    </row>
    <row r="460" spans="2:3" ht="21" x14ac:dyDescent="0.45">
      <c r="B460" s="127" t="str">
        <f t="shared" si="14"/>
        <v/>
      </c>
      <c r="C460" s="67" t="str">
        <f t="shared" si="15"/>
        <v/>
      </c>
    </row>
    <row r="461" spans="2:3" ht="21" x14ac:dyDescent="0.45">
      <c r="B461" s="127" t="str">
        <f t="shared" si="14"/>
        <v/>
      </c>
      <c r="C461" s="67" t="str">
        <f t="shared" si="15"/>
        <v/>
      </c>
    </row>
    <row r="462" spans="2:3" ht="21" x14ac:dyDescent="0.45">
      <c r="B462" s="127" t="str">
        <f t="shared" si="14"/>
        <v/>
      </c>
      <c r="C462" s="67" t="str">
        <f t="shared" si="15"/>
        <v/>
      </c>
    </row>
    <row r="463" spans="2:3" ht="21" x14ac:dyDescent="0.45">
      <c r="B463" s="127" t="str">
        <f t="shared" si="14"/>
        <v/>
      </c>
      <c r="C463" s="67" t="str">
        <f t="shared" si="15"/>
        <v/>
      </c>
    </row>
    <row r="464" spans="2:3" ht="21" x14ac:dyDescent="0.45">
      <c r="B464" s="127" t="str">
        <f t="shared" si="14"/>
        <v/>
      </c>
      <c r="C464" s="67" t="str">
        <f t="shared" si="15"/>
        <v/>
      </c>
    </row>
    <row r="465" spans="2:3" ht="21" x14ac:dyDescent="0.45">
      <c r="B465" s="127" t="str">
        <f t="shared" si="14"/>
        <v/>
      </c>
      <c r="C465" s="67" t="str">
        <f t="shared" si="15"/>
        <v/>
      </c>
    </row>
    <row r="466" spans="2:3" ht="21" x14ac:dyDescent="0.45">
      <c r="B466" s="127" t="str">
        <f t="shared" si="14"/>
        <v/>
      </c>
      <c r="C466" s="67" t="str">
        <f t="shared" si="15"/>
        <v/>
      </c>
    </row>
    <row r="467" spans="2:3" ht="21" x14ac:dyDescent="0.45">
      <c r="B467" s="127" t="str">
        <f t="shared" si="14"/>
        <v/>
      </c>
      <c r="C467" s="67" t="str">
        <f t="shared" si="15"/>
        <v/>
      </c>
    </row>
    <row r="468" spans="2:3" ht="21" x14ac:dyDescent="0.45">
      <c r="B468" s="127" t="str">
        <f t="shared" si="14"/>
        <v/>
      </c>
      <c r="C468" s="67" t="str">
        <f t="shared" si="15"/>
        <v/>
      </c>
    </row>
    <row r="469" spans="2:3" ht="21" x14ac:dyDescent="0.45">
      <c r="B469" s="127" t="str">
        <f t="shared" si="14"/>
        <v/>
      </c>
      <c r="C469" s="67" t="str">
        <f t="shared" si="15"/>
        <v/>
      </c>
    </row>
    <row r="470" spans="2:3" ht="21" x14ac:dyDescent="0.45">
      <c r="B470" s="127" t="str">
        <f t="shared" si="14"/>
        <v/>
      </c>
      <c r="C470" s="67" t="str">
        <f t="shared" si="15"/>
        <v/>
      </c>
    </row>
    <row r="471" spans="2:3" ht="21" x14ac:dyDescent="0.45">
      <c r="B471" s="127" t="str">
        <f t="shared" si="14"/>
        <v/>
      </c>
      <c r="C471" s="67" t="str">
        <f t="shared" si="15"/>
        <v/>
      </c>
    </row>
    <row r="472" spans="2:3" ht="21" x14ac:dyDescent="0.45">
      <c r="B472" s="127" t="str">
        <f t="shared" si="14"/>
        <v/>
      </c>
      <c r="C472" s="67" t="str">
        <f t="shared" si="15"/>
        <v/>
      </c>
    </row>
    <row r="473" spans="2:3" ht="21" x14ac:dyDescent="0.45">
      <c r="B473" s="127" t="str">
        <f t="shared" si="14"/>
        <v/>
      </c>
      <c r="C473" s="67" t="str">
        <f t="shared" si="15"/>
        <v/>
      </c>
    </row>
    <row r="474" spans="2:3" ht="21" x14ac:dyDescent="0.45">
      <c r="B474" s="127" t="str">
        <f t="shared" si="14"/>
        <v/>
      </c>
      <c r="C474" s="67" t="str">
        <f t="shared" si="15"/>
        <v/>
      </c>
    </row>
    <row r="475" spans="2:3" ht="21" x14ac:dyDescent="0.45">
      <c r="B475" s="127" t="str">
        <f t="shared" si="14"/>
        <v/>
      </c>
      <c r="C475" s="67" t="str">
        <f t="shared" si="15"/>
        <v/>
      </c>
    </row>
    <row r="476" spans="2:3" ht="21" x14ac:dyDescent="0.45">
      <c r="B476" s="127" t="str">
        <f t="shared" si="14"/>
        <v/>
      </c>
      <c r="C476" s="67" t="str">
        <f t="shared" si="15"/>
        <v/>
      </c>
    </row>
    <row r="477" spans="2:3" ht="21" x14ac:dyDescent="0.45">
      <c r="B477" s="127" t="str">
        <f t="shared" si="14"/>
        <v/>
      </c>
      <c r="C477" s="67" t="str">
        <f t="shared" si="15"/>
        <v/>
      </c>
    </row>
    <row r="478" spans="2:3" ht="21" x14ac:dyDescent="0.45">
      <c r="B478" s="127" t="str">
        <f t="shared" si="14"/>
        <v/>
      </c>
      <c r="C478" s="67" t="str">
        <f t="shared" si="15"/>
        <v/>
      </c>
    </row>
    <row r="479" spans="2:3" ht="21" x14ac:dyDescent="0.45">
      <c r="B479" s="127" t="str">
        <f t="shared" si="14"/>
        <v/>
      </c>
      <c r="C479" s="67" t="str">
        <f t="shared" si="15"/>
        <v/>
      </c>
    </row>
    <row r="480" spans="2:3" ht="21" x14ac:dyDescent="0.45">
      <c r="B480" s="127" t="str">
        <f t="shared" si="14"/>
        <v/>
      </c>
      <c r="C480" s="67" t="str">
        <f t="shared" si="15"/>
        <v/>
      </c>
    </row>
    <row r="481" spans="2:3" ht="21" x14ac:dyDescent="0.45">
      <c r="B481" s="127" t="str">
        <f t="shared" si="14"/>
        <v/>
      </c>
      <c r="C481" s="67" t="str">
        <f t="shared" si="15"/>
        <v/>
      </c>
    </row>
    <row r="482" spans="2:3" ht="21" x14ac:dyDescent="0.45">
      <c r="B482" s="127" t="str">
        <f t="shared" si="14"/>
        <v/>
      </c>
      <c r="C482" s="67" t="str">
        <f t="shared" si="15"/>
        <v/>
      </c>
    </row>
    <row r="483" spans="2:3" ht="21" x14ac:dyDescent="0.45">
      <c r="B483" s="127" t="str">
        <f t="shared" si="14"/>
        <v/>
      </c>
      <c r="C483" s="67" t="str">
        <f t="shared" si="15"/>
        <v/>
      </c>
    </row>
    <row r="484" spans="2:3" ht="21" x14ac:dyDescent="0.45">
      <c r="B484" s="127" t="str">
        <f t="shared" si="14"/>
        <v/>
      </c>
      <c r="C484" s="67" t="str">
        <f t="shared" si="15"/>
        <v/>
      </c>
    </row>
    <row r="485" spans="2:3" ht="21" x14ac:dyDescent="0.45">
      <c r="B485" s="127" t="str">
        <f t="shared" si="14"/>
        <v/>
      </c>
      <c r="C485" s="67" t="str">
        <f t="shared" si="15"/>
        <v/>
      </c>
    </row>
    <row r="486" spans="2:3" ht="21" x14ac:dyDescent="0.45">
      <c r="B486" s="127" t="str">
        <f t="shared" si="14"/>
        <v/>
      </c>
      <c r="C486" s="67" t="str">
        <f t="shared" si="15"/>
        <v/>
      </c>
    </row>
    <row r="487" spans="2:3" ht="21" x14ac:dyDescent="0.45">
      <c r="B487" s="127" t="str">
        <f t="shared" si="14"/>
        <v/>
      </c>
      <c r="C487" s="67" t="str">
        <f t="shared" si="15"/>
        <v/>
      </c>
    </row>
    <row r="488" spans="2:3" ht="21" x14ac:dyDescent="0.45">
      <c r="B488" s="127" t="str">
        <f t="shared" si="14"/>
        <v/>
      </c>
      <c r="C488" s="67" t="str">
        <f t="shared" si="15"/>
        <v/>
      </c>
    </row>
    <row r="489" spans="2:3" ht="21" x14ac:dyDescent="0.45">
      <c r="B489" s="127" t="str">
        <f t="shared" si="14"/>
        <v/>
      </c>
      <c r="C489" s="67" t="str">
        <f t="shared" si="15"/>
        <v/>
      </c>
    </row>
    <row r="490" spans="2:3" ht="21" x14ac:dyDescent="0.45">
      <c r="B490" s="127" t="str">
        <f t="shared" si="14"/>
        <v/>
      </c>
      <c r="C490" s="67" t="str">
        <f t="shared" si="15"/>
        <v/>
      </c>
    </row>
    <row r="491" spans="2:3" ht="21" x14ac:dyDescent="0.45">
      <c r="B491" s="127" t="str">
        <f t="shared" si="14"/>
        <v/>
      </c>
      <c r="C491" s="67" t="str">
        <f t="shared" si="15"/>
        <v/>
      </c>
    </row>
    <row r="492" spans="2:3" ht="21" x14ac:dyDescent="0.45">
      <c r="B492" s="127" t="str">
        <f t="shared" si="14"/>
        <v/>
      </c>
      <c r="C492" s="67" t="str">
        <f t="shared" si="15"/>
        <v/>
      </c>
    </row>
    <row r="493" spans="2:3" ht="21" x14ac:dyDescent="0.45">
      <c r="B493" s="127" t="str">
        <f t="shared" si="14"/>
        <v/>
      </c>
      <c r="C493" s="67" t="str">
        <f t="shared" si="15"/>
        <v/>
      </c>
    </row>
    <row r="494" spans="2:3" ht="21" x14ac:dyDescent="0.45">
      <c r="B494" s="127" t="str">
        <f t="shared" si="14"/>
        <v/>
      </c>
      <c r="C494" s="67" t="str">
        <f t="shared" si="15"/>
        <v/>
      </c>
    </row>
    <row r="495" spans="2:3" ht="21" x14ac:dyDescent="0.45">
      <c r="B495" s="127" t="str">
        <f t="shared" si="14"/>
        <v/>
      </c>
      <c r="C495" s="67" t="str">
        <f t="shared" si="15"/>
        <v/>
      </c>
    </row>
    <row r="496" spans="2:3" ht="21" x14ac:dyDescent="0.45">
      <c r="B496" s="127" t="str">
        <f t="shared" si="14"/>
        <v/>
      </c>
      <c r="C496" s="67" t="str">
        <f t="shared" si="15"/>
        <v/>
      </c>
    </row>
    <row r="497" spans="2:3" ht="21" x14ac:dyDescent="0.45">
      <c r="B497" s="127" t="str">
        <f t="shared" si="14"/>
        <v/>
      </c>
      <c r="C497" s="67" t="str">
        <f t="shared" si="15"/>
        <v/>
      </c>
    </row>
    <row r="498" spans="2:3" ht="21" x14ac:dyDescent="0.45">
      <c r="B498" s="127" t="str">
        <f t="shared" si="14"/>
        <v/>
      </c>
      <c r="C498" s="67" t="str">
        <f t="shared" si="15"/>
        <v/>
      </c>
    </row>
    <row r="499" spans="2:3" ht="21" x14ac:dyDescent="0.45">
      <c r="B499" s="127" t="str">
        <f t="shared" si="14"/>
        <v/>
      </c>
      <c r="C499" s="67" t="str">
        <f t="shared" si="15"/>
        <v/>
      </c>
    </row>
    <row r="500" spans="2:3" ht="21" x14ac:dyDescent="0.45">
      <c r="B500" s="127" t="str">
        <f t="shared" si="14"/>
        <v/>
      </c>
      <c r="C500" s="67" t="str">
        <f t="shared" si="15"/>
        <v/>
      </c>
    </row>
    <row r="501" spans="2:3" ht="21" x14ac:dyDescent="0.45">
      <c r="B501" s="127" t="str">
        <f t="shared" si="14"/>
        <v/>
      </c>
      <c r="C501" s="67" t="str">
        <f t="shared" si="15"/>
        <v/>
      </c>
    </row>
    <row r="502" spans="2:3" ht="21" x14ac:dyDescent="0.45">
      <c r="B502" s="127" t="str">
        <f t="shared" si="14"/>
        <v/>
      </c>
      <c r="C502" s="67" t="str">
        <f t="shared" si="15"/>
        <v/>
      </c>
    </row>
    <row r="503" spans="2:3" ht="21" x14ac:dyDescent="0.45">
      <c r="B503" s="127" t="str">
        <f t="shared" si="14"/>
        <v/>
      </c>
      <c r="C503" s="67" t="str">
        <f t="shared" si="15"/>
        <v/>
      </c>
    </row>
    <row r="504" spans="2:3" ht="21" x14ac:dyDescent="0.45">
      <c r="B504" s="127" t="str">
        <f t="shared" si="14"/>
        <v/>
      </c>
      <c r="C504" s="67" t="str">
        <f t="shared" si="15"/>
        <v/>
      </c>
    </row>
    <row r="505" spans="2:3" ht="21" x14ac:dyDescent="0.45">
      <c r="B505" s="127" t="str">
        <f t="shared" si="14"/>
        <v/>
      </c>
      <c r="C505" s="67" t="str">
        <f t="shared" si="15"/>
        <v/>
      </c>
    </row>
    <row r="506" spans="2:3" ht="21" x14ac:dyDescent="0.45">
      <c r="B506" s="127" t="str">
        <f t="shared" si="14"/>
        <v/>
      </c>
      <c r="C506" s="67" t="str">
        <f t="shared" si="15"/>
        <v/>
      </c>
    </row>
    <row r="507" spans="2:3" ht="21" x14ac:dyDescent="0.45">
      <c r="B507" s="127" t="str">
        <f t="shared" si="14"/>
        <v/>
      </c>
      <c r="C507" s="67" t="str">
        <f t="shared" si="15"/>
        <v/>
      </c>
    </row>
    <row r="508" spans="2:3" ht="21" x14ac:dyDescent="0.45">
      <c r="B508" s="127" t="str">
        <f t="shared" si="14"/>
        <v/>
      </c>
      <c r="C508" s="67" t="str">
        <f t="shared" si="15"/>
        <v/>
      </c>
    </row>
    <row r="509" spans="2:3" ht="21" x14ac:dyDescent="0.45">
      <c r="B509" s="127" t="str">
        <f t="shared" si="14"/>
        <v/>
      </c>
      <c r="C509" s="67" t="str">
        <f t="shared" si="15"/>
        <v/>
      </c>
    </row>
    <row r="510" spans="2:3" ht="21" x14ac:dyDescent="0.45">
      <c r="B510" s="127" t="str">
        <f t="shared" si="14"/>
        <v/>
      </c>
      <c r="C510" s="67" t="str">
        <f t="shared" si="15"/>
        <v/>
      </c>
    </row>
    <row r="511" spans="2:3" ht="21" x14ac:dyDescent="0.45">
      <c r="B511" s="127" t="str">
        <f t="shared" si="14"/>
        <v/>
      </c>
      <c r="C511" s="67" t="str">
        <f t="shared" si="15"/>
        <v/>
      </c>
    </row>
    <row r="512" spans="2:3" ht="21" x14ac:dyDescent="0.45">
      <c r="B512" s="127" t="str">
        <f t="shared" si="14"/>
        <v/>
      </c>
      <c r="C512" s="67" t="str">
        <f t="shared" si="15"/>
        <v/>
      </c>
    </row>
    <row r="513" spans="2:3" ht="21" x14ac:dyDescent="0.45">
      <c r="B513" s="127" t="str">
        <f t="shared" si="14"/>
        <v/>
      </c>
      <c r="C513" s="67" t="str">
        <f t="shared" si="15"/>
        <v/>
      </c>
    </row>
    <row r="514" spans="2:3" ht="21" x14ac:dyDescent="0.45">
      <c r="B514" s="127" t="str">
        <f t="shared" si="14"/>
        <v/>
      </c>
      <c r="C514" s="67" t="str">
        <f t="shared" si="15"/>
        <v/>
      </c>
    </row>
    <row r="515" spans="2:3" ht="21" x14ac:dyDescent="0.45">
      <c r="B515" s="127" t="str">
        <f t="shared" si="14"/>
        <v/>
      </c>
      <c r="C515" s="67" t="str">
        <f t="shared" si="15"/>
        <v/>
      </c>
    </row>
    <row r="516" spans="2:3" ht="21" x14ac:dyDescent="0.45">
      <c r="B516" s="127" t="str">
        <f t="shared" si="14"/>
        <v/>
      </c>
      <c r="C516" s="67" t="str">
        <f t="shared" si="15"/>
        <v/>
      </c>
    </row>
    <row r="517" spans="2:3" ht="21" x14ac:dyDescent="0.45">
      <c r="B517" s="127" t="str">
        <f t="shared" si="14"/>
        <v/>
      </c>
      <c r="C517" s="67" t="str">
        <f t="shared" si="15"/>
        <v/>
      </c>
    </row>
    <row r="518" spans="2:3" ht="21" x14ac:dyDescent="0.45">
      <c r="B518" s="127" t="str">
        <f t="shared" ref="B518:B581" si="16">IF(ISNUMBER(D518),"...","")</f>
        <v/>
      </c>
      <c r="C518" s="67" t="str">
        <f t="shared" ref="C518:C581" si="17">IF(ISNUMBER(D518),"x","")</f>
        <v/>
      </c>
    </row>
    <row r="519" spans="2:3" ht="21" x14ac:dyDescent="0.45">
      <c r="B519" s="127" t="str">
        <f t="shared" si="16"/>
        <v/>
      </c>
      <c r="C519" s="67" t="str">
        <f t="shared" si="17"/>
        <v/>
      </c>
    </row>
    <row r="520" spans="2:3" ht="21" x14ac:dyDescent="0.45">
      <c r="B520" s="127" t="str">
        <f t="shared" si="16"/>
        <v/>
      </c>
      <c r="C520" s="67" t="str">
        <f t="shared" si="17"/>
        <v/>
      </c>
    </row>
    <row r="521" spans="2:3" ht="21" x14ac:dyDescent="0.45">
      <c r="B521" s="127" t="str">
        <f t="shared" si="16"/>
        <v/>
      </c>
      <c r="C521" s="67" t="str">
        <f t="shared" si="17"/>
        <v/>
      </c>
    </row>
    <row r="522" spans="2:3" ht="21" x14ac:dyDescent="0.45">
      <c r="B522" s="127" t="str">
        <f t="shared" si="16"/>
        <v/>
      </c>
      <c r="C522" s="67" t="str">
        <f t="shared" si="17"/>
        <v/>
      </c>
    </row>
    <row r="523" spans="2:3" ht="21" x14ac:dyDescent="0.45">
      <c r="B523" s="127" t="str">
        <f t="shared" si="16"/>
        <v/>
      </c>
      <c r="C523" s="67" t="str">
        <f t="shared" si="17"/>
        <v/>
      </c>
    </row>
    <row r="524" spans="2:3" ht="21" x14ac:dyDescent="0.45">
      <c r="B524" s="127" t="str">
        <f t="shared" si="16"/>
        <v/>
      </c>
      <c r="C524" s="67" t="str">
        <f t="shared" si="17"/>
        <v/>
      </c>
    </row>
    <row r="525" spans="2:3" ht="21" x14ac:dyDescent="0.45">
      <c r="B525" s="127" t="str">
        <f t="shared" si="16"/>
        <v/>
      </c>
      <c r="C525" s="67" t="str">
        <f t="shared" si="17"/>
        <v/>
      </c>
    </row>
    <row r="526" spans="2:3" ht="21" x14ac:dyDescent="0.45">
      <c r="B526" s="127" t="str">
        <f t="shared" si="16"/>
        <v/>
      </c>
      <c r="C526" s="67" t="str">
        <f t="shared" si="17"/>
        <v/>
      </c>
    </row>
    <row r="527" spans="2:3" ht="21" x14ac:dyDescent="0.45">
      <c r="B527" s="127" t="str">
        <f t="shared" si="16"/>
        <v/>
      </c>
      <c r="C527" s="67" t="str">
        <f t="shared" si="17"/>
        <v/>
      </c>
    </row>
    <row r="528" spans="2:3" ht="21" x14ac:dyDescent="0.45">
      <c r="B528" s="127" t="str">
        <f t="shared" si="16"/>
        <v/>
      </c>
      <c r="C528" s="67" t="str">
        <f t="shared" si="17"/>
        <v/>
      </c>
    </row>
    <row r="529" spans="2:3" ht="21" x14ac:dyDescent="0.45">
      <c r="B529" s="127" t="str">
        <f t="shared" si="16"/>
        <v/>
      </c>
      <c r="C529" s="67" t="str">
        <f t="shared" si="17"/>
        <v/>
      </c>
    </row>
    <row r="530" spans="2:3" ht="21" x14ac:dyDescent="0.45">
      <c r="B530" s="127" t="str">
        <f t="shared" si="16"/>
        <v/>
      </c>
      <c r="C530" s="67" t="str">
        <f t="shared" si="17"/>
        <v/>
      </c>
    </row>
    <row r="531" spans="2:3" ht="21" x14ac:dyDescent="0.45">
      <c r="B531" s="127" t="str">
        <f t="shared" si="16"/>
        <v/>
      </c>
      <c r="C531" s="67" t="str">
        <f t="shared" si="17"/>
        <v/>
      </c>
    </row>
    <row r="532" spans="2:3" ht="21" x14ac:dyDescent="0.45">
      <c r="B532" s="127" t="str">
        <f t="shared" si="16"/>
        <v/>
      </c>
      <c r="C532" s="67" t="str">
        <f t="shared" si="17"/>
        <v/>
      </c>
    </row>
    <row r="533" spans="2:3" ht="21" x14ac:dyDescent="0.45">
      <c r="B533" s="127" t="str">
        <f t="shared" si="16"/>
        <v/>
      </c>
      <c r="C533" s="67" t="str">
        <f t="shared" si="17"/>
        <v/>
      </c>
    </row>
    <row r="534" spans="2:3" ht="21" x14ac:dyDescent="0.45">
      <c r="B534" s="127" t="str">
        <f t="shared" si="16"/>
        <v/>
      </c>
      <c r="C534" s="67" t="str">
        <f t="shared" si="17"/>
        <v/>
      </c>
    </row>
    <row r="535" spans="2:3" ht="21" x14ac:dyDescent="0.45">
      <c r="B535" s="127" t="str">
        <f t="shared" si="16"/>
        <v/>
      </c>
      <c r="C535" s="67" t="str">
        <f t="shared" si="17"/>
        <v/>
      </c>
    </row>
    <row r="536" spans="2:3" ht="21" x14ac:dyDescent="0.45">
      <c r="B536" s="127" t="str">
        <f t="shared" si="16"/>
        <v/>
      </c>
      <c r="C536" s="67" t="str">
        <f t="shared" si="17"/>
        <v/>
      </c>
    </row>
    <row r="537" spans="2:3" ht="21" x14ac:dyDescent="0.45">
      <c r="B537" s="127" t="str">
        <f t="shared" si="16"/>
        <v/>
      </c>
      <c r="C537" s="67" t="str">
        <f t="shared" si="17"/>
        <v/>
      </c>
    </row>
    <row r="538" spans="2:3" ht="21" x14ac:dyDescent="0.45">
      <c r="B538" s="127" t="str">
        <f t="shared" si="16"/>
        <v/>
      </c>
      <c r="C538" s="67" t="str">
        <f t="shared" si="17"/>
        <v/>
      </c>
    </row>
    <row r="539" spans="2:3" ht="21" x14ac:dyDescent="0.45">
      <c r="B539" s="127" t="str">
        <f t="shared" si="16"/>
        <v/>
      </c>
      <c r="C539" s="67" t="str">
        <f t="shared" si="17"/>
        <v/>
      </c>
    </row>
    <row r="540" spans="2:3" ht="21" x14ac:dyDescent="0.45">
      <c r="B540" s="127" t="str">
        <f t="shared" si="16"/>
        <v/>
      </c>
      <c r="C540" s="67" t="str">
        <f t="shared" si="17"/>
        <v/>
      </c>
    </row>
    <row r="541" spans="2:3" ht="21" x14ac:dyDescent="0.45">
      <c r="B541" s="127" t="str">
        <f t="shared" si="16"/>
        <v/>
      </c>
      <c r="C541" s="67" t="str">
        <f t="shared" si="17"/>
        <v/>
      </c>
    </row>
    <row r="542" spans="2:3" ht="21" x14ac:dyDescent="0.45">
      <c r="B542" s="127" t="str">
        <f t="shared" si="16"/>
        <v/>
      </c>
      <c r="C542" s="67" t="str">
        <f t="shared" si="17"/>
        <v/>
      </c>
    </row>
    <row r="543" spans="2:3" ht="21" x14ac:dyDescent="0.45">
      <c r="B543" s="127" t="str">
        <f t="shared" si="16"/>
        <v/>
      </c>
      <c r="C543" s="67" t="str">
        <f t="shared" si="17"/>
        <v/>
      </c>
    </row>
    <row r="544" spans="2:3" ht="21" x14ac:dyDescent="0.45">
      <c r="B544" s="127" t="str">
        <f t="shared" si="16"/>
        <v/>
      </c>
      <c r="C544" s="67" t="str">
        <f t="shared" si="17"/>
        <v/>
      </c>
    </row>
    <row r="545" spans="2:3" ht="21" x14ac:dyDescent="0.45">
      <c r="B545" s="127" t="str">
        <f t="shared" si="16"/>
        <v/>
      </c>
      <c r="C545" s="67" t="str">
        <f t="shared" si="17"/>
        <v/>
      </c>
    </row>
    <row r="546" spans="2:3" ht="21" x14ac:dyDescent="0.45">
      <c r="B546" s="127" t="str">
        <f t="shared" si="16"/>
        <v/>
      </c>
      <c r="C546" s="67" t="str">
        <f t="shared" si="17"/>
        <v/>
      </c>
    </row>
    <row r="547" spans="2:3" ht="21" x14ac:dyDescent="0.45">
      <c r="B547" s="127" t="str">
        <f t="shared" si="16"/>
        <v/>
      </c>
      <c r="C547" s="67" t="str">
        <f t="shared" si="17"/>
        <v/>
      </c>
    </row>
    <row r="548" spans="2:3" ht="21" x14ac:dyDescent="0.45">
      <c r="B548" s="127" t="str">
        <f t="shared" si="16"/>
        <v/>
      </c>
      <c r="C548" s="67" t="str">
        <f t="shared" si="17"/>
        <v/>
      </c>
    </row>
    <row r="549" spans="2:3" ht="21" x14ac:dyDescent="0.45">
      <c r="B549" s="127" t="str">
        <f t="shared" si="16"/>
        <v/>
      </c>
      <c r="C549" s="67" t="str">
        <f t="shared" si="17"/>
        <v/>
      </c>
    </row>
    <row r="550" spans="2:3" ht="21" x14ac:dyDescent="0.45">
      <c r="B550" s="127" t="str">
        <f t="shared" si="16"/>
        <v/>
      </c>
      <c r="C550" s="67" t="str">
        <f t="shared" si="17"/>
        <v/>
      </c>
    </row>
    <row r="551" spans="2:3" ht="21" x14ac:dyDescent="0.45">
      <c r="B551" s="127" t="str">
        <f t="shared" si="16"/>
        <v/>
      </c>
      <c r="C551" s="67" t="str">
        <f t="shared" si="17"/>
        <v/>
      </c>
    </row>
    <row r="552" spans="2:3" ht="21" x14ac:dyDescent="0.45">
      <c r="B552" s="127" t="str">
        <f t="shared" si="16"/>
        <v/>
      </c>
      <c r="C552" s="67" t="str">
        <f t="shared" si="17"/>
        <v/>
      </c>
    </row>
    <row r="553" spans="2:3" ht="21" x14ac:dyDescent="0.45">
      <c r="B553" s="127" t="str">
        <f t="shared" si="16"/>
        <v/>
      </c>
      <c r="C553" s="67" t="str">
        <f t="shared" si="17"/>
        <v/>
      </c>
    </row>
    <row r="554" spans="2:3" ht="21" x14ac:dyDescent="0.45">
      <c r="B554" s="127" t="str">
        <f t="shared" si="16"/>
        <v/>
      </c>
      <c r="C554" s="67" t="str">
        <f t="shared" si="17"/>
        <v/>
      </c>
    </row>
    <row r="555" spans="2:3" ht="21" x14ac:dyDescent="0.45">
      <c r="B555" s="127" t="str">
        <f t="shared" si="16"/>
        <v/>
      </c>
      <c r="C555" s="67" t="str">
        <f t="shared" si="17"/>
        <v/>
      </c>
    </row>
    <row r="556" spans="2:3" ht="21" x14ac:dyDescent="0.45">
      <c r="B556" s="127" t="str">
        <f t="shared" si="16"/>
        <v/>
      </c>
      <c r="C556" s="67" t="str">
        <f t="shared" si="17"/>
        <v/>
      </c>
    </row>
    <row r="557" spans="2:3" ht="21" x14ac:dyDescent="0.45">
      <c r="B557" s="127" t="str">
        <f t="shared" si="16"/>
        <v/>
      </c>
      <c r="C557" s="67" t="str">
        <f t="shared" si="17"/>
        <v/>
      </c>
    </row>
    <row r="558" spans="2:3" ht="21" x14ac:dyDescent="0.45">
      <c r="B558" s="127" t="str">
        <f t="shared" si="16"/>
        <v/>
      </c>
      <c r="C558" s="67" t="str">
        <f t="shared" si="17"/>
        <v/>
      </c>
    </row>
    <row r="559" spans="2:3" ht="21" x14ac:dyDescent="0.45">
      <c r="B559" s="127" t="str">
        <f t="shared" si="16"/>
        <v/>
      </c>
      <c r="C559" s="67" t="str">
        <f t="shared" si="17"/>
        <v/>
      </c>
    </row>
    <row r="560" spans="2:3" ht="21" x14ac:dyDescent="0.45">
      <c r="B560" s="127" t="str">
        <f t="shared" si="16"/>
        <v/>
      </c>
      <c r="C560" s="67" t="str">
        <f t="shared" si="17"/>
        <v/>
      </c>
    </row>
    <row r="561" spans="2:3" ht="21" x14ac:dyDescent="0.45">
      <c r="B561" s="127" t="str">
        <f t="shared" si="16"/>
        <v/>
      </c>
      <c r="C561" s="67" t="str">
        <f t="shared" si="17"/>
        <v/>
      </c>
    </row>
    <row r="562" spans="2:3" ht="21" x14ac:dyDescent="0.45">
      <c r="B562" s="127" t="str">
        <f t="shared" si="16"/>
        <v/>
      </c>
      <c r="C562" s="67" t="str">
        <f t="shared" si="17"/>
        <v/>
      </c>
    </row>
    <row r="563" spans="2:3" ht="21" x14ac:dyDescent="0.45">
      <c r="B563" s="127" t="str">
        <f t="shared" si="16"/>
        <v/>
      </c>
      <c r="C563" s="67" t="str">
        <f t="shared" si="17"/>
        <v/>
      </c>
    </row>
    <row r="564" spans="2:3" ht="21" x14ac:dyDescent="0.45">
      <c r="B564" s="127" t="str">
        <f t="shared" si="16"/>
        <v/>
      </c>
      <c r="C564" s="67" t="str">
        <f t="shared" si="17"/>
        <v/>
      </c>
    </row>
    <row r="565" spans="2:3" ht="21" x14ac:dyDescent="0.45">
      <c r="B565" s="127" t="str">
        <f t="shared" si="16"/>
        <v/>
      </c>
      <c r="C565" s="67" t="str">
        <f t="shared" si="17"/>
        <v/>
      </c>
    </row>
    <row r="566" spans="2:3" ht="21" x14ac:dyDescent="0.45">
      <c r="B566" s="127" t="str">
        <f t="shared" si="16"/>
        <v/>
      </c>
      <c r="C566" s="67" t="str">
        <f t="shared" si="17"/>
        <v/>
      </c>
    </row>
    <row r="567" spans="2:3" ht="21" x14ac:dyDescent="0.45">
      <c r="B567" s="127" t="str">
        <f t="shared" si="16"/>
        <v/>
      </c>
      <c r="C567" s="67" t="str">
        <f t="shared" si="17"/>
        <v/>
      </c>
    </row>
    <row r="568" spans="2:3" ht="21" x14ac:dyDescent="0.45">
      <c r="B568" s="127" t="str">
        <f t="shared" si="16"/>
        <v/>
      </c>
      <c r="C568" s="67" t="str">
        <f t="shared" si="17"/>
        <v/>
      </c>
    </row>
    <row r="569" spans="2:3" ht="21" x14ac:dyDescent="0.45">
      <c r="B569" s="127" t="str">
        <f t="shared" si="16"/>
        <v/>
      </c>
      <c r="C569" s="67" t="str">
        <f t="shared" si="17"/>
        <v/>
      </c>
    </row>
    <row r="570" spans="2:3" ht="21" x14ac:dyDescent="0.45">
      <c r="B570" s="127" t="str">
        <f t="shared" si="16"/>
        <v/>
      </c>
      <c r="C570" s="67" t="str">
        <f t="shared" si="17"/>
        <v/>
      </c>
    </row>
    <row r="571" spans="2:3" ht="21" x14ac:dyDescent="0.45">
      <c r="B571" s="127" t="str">
        <f t="shared" si="16"/>
        <v/>
      </c>
      <c r="C571" s="67" t="str">
        <f t="shared" si="17"/>
        <v/>
      </c>
    </row>
    <row r="572" spans="2:3" ht="21" x14ac:dyDescent="0.45">
      <c r="B572" s="127" t="str">
        <f t="shared" si="16"/>
        <v/>
      </c>
      <c r="C572" s="67" t="str">
        <f t="shared" si="17"/>
        <v/>
      </c>
    </row>
    <row r="573" spans="2:3" ht="21" x14ac:dyDescent="0.45">
      <c r="B573" s="127" t="str">
        <f t="shared" si="16"/>
        <v/>
      </c>
      <c r="C573" s="67" t="str">
        <f t="shared" si="17"/>
        <v/>
      </c>
    </row>
    <row r="574" spans="2:3" ht="21" x14ac:dyDescent="0.45">
      <c r="B574" s="127" t="str">
        <f t="shared" si="16"/>
        <v/>
      </c>
      <c r="C574" s="67" t="str">
        <f t="shared" si="17"/>
        <v/>
      </c>
    </row>
    <row r="575" spans="2:3" ht="21" x14ac:dyDescent="0.45">
      <c r="B575" s="127" t="str">
        <f t="shared" si="16"/>
        <v/>
      </c>
      <c r="C575" s="67" t="str">
        <f t="shared" si="17"/>
        <v/>
      </c>
    </row>
    <row r="576" spans="2:3" ht="21" x14ac:dyDescent="0.45">
      <c r="B576" s="127" t="str">
        <f t="shared" si="16"/>
        <v/>
      </c>
      <c r="C576" s="67" t="str">
        <f t="shared" si="17"/>
        <v/>
      </c>
    </row>
    <row r="577" spans="2:3" ht="21" x14ac:dyDescent="0.45">
      <c r="B577" s="127" t="str">
        <f t="shared" si="16"/>
        <v/>
      </c>
      <c r="C577" s="67" t="str">
        <f t="shared" si="17"/>
        <v/>
      </c>
    </row>
    <row r="578" spans="2:3" ht="21" x14ac:dyDescent="0.45">
      <c r="B578" s="127" t="str">
        <f t="shared" si="16"/>
        <v/>
      </c>
      <c r="C578" s="67" t="str">
        <f t="shared" si="17"/>
        <v/>
      </c>
    </row>
    <row r="579" spans="2:3" ht="21" x14ac:dyDescent="0.45">
      <c r="B579" s="127" t="str">
        <f t="shared" si="16"/>
        <v/>
      </c>
      <c r="C579" s="67" t="str">
        <f t="shared" si="17"/>
        <v/>
      </c>
    </row>
    <row r="580" spans="2:3" ht="21" x14ac:dyDescent="0.45">
      <c r="B580" s="127" t="str">
        <f t="shared" si="16"/>
        <v/>
      </c>
      <c r="C580" s="67" t="str">
        <f t="shared" si="17"/>
        <v/>
      </c>
    </row>
    <row r="581" spans="2:3" ht="21" x14ac:dyDescent="0.45">
      <c r="B581" s="127" t="str">
        <f t="shared" si="16"/>
        <v/>
      </c>
      <c r="C581" s="67" t="str">
        <f t="shared" si="17"/>
        <v/>
      </c>
    </row>
    <row r="582" spans="2:3" ht="21" x14ac:dyDescent="0.45">
      <c r="B582" s="127" t="str">
        <f t="shared" ref="B582:B645" si="18">IF(ISNUMBER(D582),"...","")</f>
        <v/>
      </c>
      <c r="C582" s="67" t="str">
        <f t="shared" ref="C582:C645" si="19">IF(ISNUMBER(D582),"x","")</f>
        <v/>
      </c>
    </row>
    <row r="583" spans="2:3" ht="21" x14ac:dyDescent="0.45">
      <c r="B583" s="127" t="str">
        <f t="shared" si="18"/>
        <v/>
      </c>
      <c r="C583" s="67" t="str">
        <f t="shared" si="19"/>
        <v/>
      </c>
    </row>
    <row r="584" spans="2:3" ht="21" x14ac:dyDescent="0.45">
      <c r="B584" s="127" t="str">
        <f t="shared" si="18"/>
        <v/>
      </c>
      <c r="C584" s="67" t="str">
        <f t="shared" si="19"/>
        <v/>
      </c>
    </row>
    <row r="585" spans="2:3" ht="21" x14ac:dyDescent="0.45">
      <c r="B585" s="127" t="str">
        <f t="shared" si="18"/>
        <v/>
      </c>
      <c r="C585" s="67" t="str">
        <f t="shared" si="19"/>
        <v/>
      </c>
    </row>
    <row r="586" spans="2:3" ht="21" x14ac:dyDescent="0.45">
      <c r="B586" s="127" t="str">
        <f t="shared" si="18"/>
        <v/>
      </c>
      <c r="C586" s="67" t="str">
        <f t="shared" si="19"/>
        <v/>
      </c>
    </row>
    <row r="587" spans="2:3" ht="21" x14ac:dyDescent="0.45">
      <c r="B587" s="127" t="str">
        <f t="shared" si="18"/>
        <v/>
      </c>
      <c r="C587" s="67" t="str">
        <f t="shared" si="19"/>
        <v/>
      </c>
    </row>
    <row r="588" spans="2:3" ht="21" x14ac:dyDescent="0.45">
      <c r="B588" s="127" t="str">
        <f t="shared" si="18"/>
        <v/>
      </c>
      <c r="C588" s="67" t="str">
        <f t="shared" si="19"/>
        <v/>
      </c>
    </row>
    <row r="589" spans="2:3" ht="21" x14ac:dyDescent="0.45">
      <c r="B589" s="127" t="str">
        <f t="shared" si="18"/>
        <v/>
      </c>
      <c r="C589" s="67" t="str">
        <f t="shared" si="19"/>
        <v/>
      </c>
    </row>
    <row r="590" spans="2:3" ht="21" x14ac:dyDescent="0.45">
      <c r="B590" s="127" t="str">
        <f t="shared" si="18"/>
        <v/>
      </c>
      <c r="C590" s="67" t="str">
        <f t="shared" si="19"/>
        <v/>
      </c>
    </row>
    <row r="591" spans="2:3" ht="21" x14ac:dyDescent="0.45">
      <c r="B591" s="127" t="str">
        <f t="shared" si="18"/>
        <v/>
      </c>
      <c r="C591" s="67" t="str">
        <f t="shared" si="19"/>
        <v/>
      </c>
    </row>
    <row r="592" spans="2:3" ht="21" x14ac:dyDescent="0.45">
      <c r="B592" s="127" t="str">
        <f t="shared" si="18"/>
        <v/>
      </c>
      <c r="C592" s="67" t="str">
        <f t="shared" si="19"/>
        <v/>
      </c>
    </row>
    <row r="593" spans="2:3" ht="21" x14ac:dyDescent="0.45">
      <c r="B593" s="127" t="str">
        <f t="shared" si="18"/>
        <v/>
      </c>
      <c r="C593" s="67" t="str">
        <f t="shared" si="19"/>
        <v/>
      </c>
    </row>
    <row r="594" spans="2:3" ht="21" x14ac:dyDescent="0.45">
      <c r="B594" s="127" t="str">
        <f t="shared" si="18"/>
        <v/>
      </c>
      <c r="C594" s="67" t="str">
        <f t="shared" si="19"/>
        <v/>
      </c>
    </row>
    <row r="595" spans="2:3" ht="21" x14ac:dyDescent="0.45">
      <c r="B595" s="127" t="str">
        <f t="shared" si="18"/>
        <v/>
      </c>
      <c r="C595" s="67" t="str">
        <f t="shared" si="19"/>
        <v/>
      </c>
    </row>
    <row r="596" spans="2:3" ht="21" x14ac:dyDescent="0.45">
      <c r="B596" s="127" t="str">
        <f t="shared" si="18"/>
        <v/>
      </c>
      <c r="C596" s="67" t="str">
        <f t="shared" si="19"/>
        <v/>
      </c>
    </row>
    <row r="597" spans="2:3" ht="21" x14ac:dyDescent="0.45">
      <c r="B597" s="127" t="str">
        <f t="shared" si="18"/>
        <v/>
      </c>
      <c r="C597" s="67" t="str">
        <f t="shared" si="19"/>
        <v/>
      </c>
    </row>
    <row r="598" spans="2:3" ht="21" x14ac:dyDescent="0.45">
      <c r="B598" s="127" t="str">
        <f t="shared" si="18"/>
        <v/>
      </c>
      <c r="C598" s="67" t="str">
        <f t="shared" si="19"/>
        <v/>
      </c>
    </row>
    <row r="599" spans="2:3" ht="21" x14ac:dyDescent="0.45">
      <c r="B599" s="127" t="str">
        <f t="shared" si="18"/>
        <v/>
      </c>
      <c r="C599" s="67" t="str">
        <f t="shared" si="19"/>
        <v/>
      </c>
    </row>
    <row r="600" spans="2:3" ht="21" x14ac:dyDescent="0.45">
      <c r="B600" s="127" t="str">
        <f t="shared" si="18"/>
        <v/>
      </c>
      <c r="C600" s="67" t="str">
        <f t="shared" si="19"/>
        <v/>
      </c>
    </row>
    <row r="601" spans="2:3" ht="21" x14ac:dyDescent="0.45">
      <c r="B601" s="127" t="str">
        <f t="shared" si="18"/>
        <v/>
      </c>
      <c r="C601" s="67" t="str">
        <f t="shared" si="19"/>
        <v/>
      </c>
    </row>
    <row r="602" spans="2:3" ht="21" x14ac:dyDescent="0.45">
      <c r="B602" s="127" t="str">
        <f t="shared" si="18"/>
        <v/>
      </c>
      <c r="C602" s="67" t="str">
        <f t="shared" si="19"/>
        <v/>
      </c>
    </row>
    <row r="603" spans="2:3" ht="21" x14ac:dyDescent="0.45">
      <c r="B603" s="127" t="str">
        <f t="shared" si="18"/>
        <v/>
      </c>
      <c r="C603" s="67" t="str">
        <f t="shared" si="19"/>
        <v/>
      </c>
    </row>
    <row r="604" spans="2:3" ht="21" x14ac:dyDescent="0.45">
      <c r="B604" s="127" t="str">
        <f t="shared" si="18"/>
        <v/>
      </c>
      <c r="C604" s="67" t="str">
        <f t="shared" si="19"/>
        <v/>
      </c>
    </row>
    <row r="605" spans="2:3" ht="21" x14ac:dyDescent="0.45">
      <c r="B605" s="127" t="str">
        <f t="shared" si="18"/>
        <v/>
      </c>
      <c r="C605" s="67" t="str">
        <f t="shared" si="19"/>
        <v/>
      </c>
    </row>
    <row r="606" spans="2:3" ht="21" x14ac:dyDescent="0.45">
      <c r="B606" s="127" t="str">
        <f t="shared" si="18"/>
        <v/>
      </c>
      <c r="C606" s="67" t="str">
        <f t="shared" si="19"/>
        <v/>
      </c>
    </row>
    <row r="607" spans="2:3" ht="21" x14ac:dyDescent="0.45">
      <c r="B607" s="127" t="str">
        <f t="shared" si="18"/>
        <v/>
      </c>
      <c r="C607" s="67" t="str">
        <f t="shared" si="19"/>
        <v/>
      </c>
    </row>
    <row r="608" spans="2:3" ht="21" x14ac:dyDescent="0.45">
      <c r="B608" s="127" t="str">
        <f t="shared" si="18"/>
        <v/>
      </c>
      <c r="C608" s="67" t="str">
        <f t="shared" si="19"/>
        <v/>
      </c>
    </row>
    <row r="609" spans="2:3" ht="21" x14ac:dyDescent="0.45">
      <c r="B609" s="127" t="str">
        <f t="shared" si="18"/>
        <v/>
      </c>
      <c r="C609" s="67" t="str">
        <f t="shared" si="19"/>
        <v/>
      </c>
    </row>
    <row r="610" spans="2:3" ht="21" x14ac:dyDescent="0.45">
      <c r="B610" s="127" t="str">
        <f t="shared" si="18"/>
        <v/>
      </c>
      <c r="C610" s="67" t="str">
        <f t="shared" si="19"/>
        <v/>
      </c>
    </row>
    <row r="611" spans="2:3" ht="21" x14ac:dyDescent="0.45">
      <c r="B611" s="127" t="str">
        <f t="shared" si="18"/>
        <v/>
      </c>
      <c r="C611" s="67" t="str">
        <f t="shared" si="19"/>
        <v/>
      </c>
    </row>
    <row r="612" spans="2:3" ht="21" x14ac:dyDescent="0.45">
      <c r="B612" s="127" t="str">
        <f t="shared" si="18"/>
        <v/>
      </c>
      <c r="C612" s="67" t="str">
        <f t="shared" si="19"/>
        <v/>
      </c>
    </row>
    <row r="613" spans="2:3" ht="21" x14ac:dyDescent="0.45">
      <c r="B613" s="127" t="str">
        <f t="shared" si="18"/>
        <v/>
      </c>
      <c r="C613" s="67" t="str">
        <f t="shared" si="19"/>
        <v/>
      </c>
    </row>
    <row r="614" spans="2:3" ht="21" x14ac:dyDescent="0.45">
      <c r="B614" s="127" t="str">
        <f t="shared" si="18"/>
        <v/>
      </c>
      <c r="C614" s="67" t="str">
        <f t="shared" si="19"/>
        <v/>
      </c>
    </row>
    <row r="615" spans="2:3" ht="21" x14ac:dyDescent="0.45">
      <c r="B615" s="127" t="str">
        <f t="shared" si="18"/>
        <v/>
      </c>
      <c r="C615" s="67" t="str">
        <f t="shared" si="19"/>
        <v/>
      </c>
    </row>
    <row r="616" spans="2:3" ht="21" x14ac:dyDescent="0.45">
      <c r="B616" s="127" t="str">
        <f t="shared" si="18"/>
        <v/>
      </c>
      <c r="C616" s="67" t="str">
        <f t="shared" si="19"/>
        <v/>
      </c>
    </row>
    <row r="617" spans="2:3" ht="21" x14ac:dyDescent="0.45">
      <c r="B617" s="127" t="str">
        <f t="shared" si="18"/>
        <v/>
      </c>
      <c r="C617" s="67" t="str">
        <f t="shared" si="19"/>
        <v/>
      </c>
    </row>
    <row r="618" spans="2:3" ht="21" x14ac:dyDescent="0.45">
      <c r="B618" s="127" t="str">
        <f t="shared" si="18"/>
        <v/>
      </c>
      <c r="C618" s="67" t="str">
        <f t="shared" si="19"/>
        <v/>
      </c>
    </row>
    <row r="619" spans="2:3" ht="21" x14ac:dyDescent="0.45">
      <c r="B619" s="127" t="str">
        <f t="shared" si="18"/>
        <v/>
      </c>
      <c r="C619" s="67" t="str">
        <f t="shared" si="19"/>
        <v/>
      </c>
    </row>
    <row r="620" spans="2:3" ht="21" x14ac:dyDescent="0.45">
      <c r="B620" s="127" t="str">
        <f t="shared" si="18"/>
        <v/>
      </c>
      <c r="C620" s="67" t="str">
        <f t="shared" si="19"/>
        <v/>
      </c>
    </row>
    <row r="621" spans="2:3" ht="21" x14ac:dyDescent="0.45">
      <c r="B621" s="127" t="str">
        <f t="shared" si="18"/>
        <v/>
      </c>
      <c r="C621" s="67" t="str">
        <f t="shared" si="19"/>
        <v/>
      </c>
    </row>
    <row r="622" spans="2:3" ht="21" x14ac:dyDescent="0.45">
      <c r="B622" s="127" t="str">
        <f t="shared" si="18"/>
        <v/>
      </c>
      <c r="C622" s="67" t="str">
        <f t="shared" si="19"/>
        <v/>
      </c>
    </row>
    <row r="623" spans="2:3" ht="21" x14ac:dyDescent="0.45">
      <c r="B623" s="127" t="str">
        <f t="shared" si="18"/>
        <v/>
      </c>
      <c r="C623" s="67" t="str">
        <f t="shared" si="19"/>
        <v/>
      </c>
    </row>
    <row r="624" spans="2:3" ht="21" x14ac:dyDescent="0.45">
      <c r="B624" s="127" t="str">
        <f t="shared" si="18"/>
        <v/>
      </c>
      <c r="C624" s="67" t="str">
        <f t="shared" si="19"/>
        <v/>
      </c>
    </row>
    <row r="625" spans="2:3" ht="21" x14ac:dyDescent="0.45">
      <c r="B625" s="127" t="str">
        <f t="shared" si="18"/>
        <v/>
      </c>
      <c r="C625" s="67" t="str">
        <f t="shared" si="19"/>
        <v/>
      </c>
    </row>
    <row r="626" spans="2:3" ht="21" x14ac:dyDescent="0.45">
      <c r="B626" s="127" t="str">
        <f t="shared" si="18"/>
        <v/>
      </c>
      <c r="C626" s="67" t="str">
        <f t="shared" si="19"/>
        <v/>
      </c>
    </row>
    <row r="627" spans="2:3" ht="21" x14ac:dyDescent="0.45">
      <c r="B627" s="127" t="str">
        <f t="shared" si="18"/>
        <v/>
      </c>
      <c r="C627" s="67" t="str">
        <f t="shared" si="19"/>
        <v/>
      </c>
    </row>
    <row r="628" spans="2:3" ht="21" x14ac:dyDescent="0.45">
      <c r="B628" s="127" t="str">
        <f t="shared" si="18"/>
        <v/>
      </c>
      <c r="C628" s="67" t="str">
        <f t="shared" si="19"/>
        <v/>
      </c>
    </row>
    <row r="629" spans="2:3" ht="21" x14ac:dyDescent="0.45">
      <c r="B629" s="127" t="str">
        <f t="shared" si="18"/>
        <v/>
      </c>
      <c r="C629" s="67" t="str">
        <f t="shared" si="19"/>
        <v/>
      </c>
    </row>
    <row r="630" spans="2:3" ht="21" x14ac:dyDescent="0.45">
      <c r="B630" s="127" t="str">
        <f t="shared" si="18"/>
        <v/>
      </c>
      <c r="C630" s="67" t="str">
        <f t="shared" si="19"/>
        <v/>
      </c>
    </row>
    <row r="631" spans="2:3" ht="21" x14ac:dyDescent="0.45">
      <c r="B631" s="127" t="str">
        <f t="shared" si="18"/>
        <v/>
      </c>
      <c r="C631" s="67" t="str">
        <f t="shared" si="19"/>
        <v/>
      </c>
    </row>
    <row r="632" spans="2:3" ht="21" x14ac:dyDescent="0.45">
      <c r="B632" s="127" t="str">
        <f t="shared" si="18"/>
        <v/>
      </c>
      <c r="C632" s="67" t="str">
        <f t="shared" si="19"/>
        <v/>
      </c>
    </row>
    <row r="633" spans="2:3" ht="21" x14ac:dyDescent="0.45">
      <c r="B633" s="127" t="str">
        <f t="shared" si="18"/>
        <v/>
      </c>
      <c r="C633" s="67" t="str">
        <f t="shared" si="19"/>
        <v/>
      </c>
    </row>
    <row r="634" spans="2:3" ht="21" x14ac:dyDescent="0.45">
      <c r="B634" s="127" t="str">
        <f t="shared" si="18"/>
        <v/>
      </c>
      <c r="C634" s="67" t="str">
        <f t="shared" si="19"/>
        <v/>
      </c>
    </row>
    <row r="635" spans="2:3" ht="21" x14ac:dyDescent="0.45">
      <c r="B635" s="127" t="str">
        <f t="shared" si="18"/>
        <v/>
      </c>
      <c r="C635" s="67" t="str">
        <f t="shared" si="19"/>
        <v/>
      </c>
    </row>
    <row r="636" spans="2:3" ht="21" x14ac:dyDescent="0.45">
      <c r="B636" s="127" t="str">
        <f t="shared" si="18"/>
        <v/>
      </c>
      <c r="C636" s="67" t="str">
        <f t="shared" si="19"/>
        <v/>
      </c>
    </row>
    <row r="637" spans="2:3" ht="21" x14ac:dyDescent="0.45">
      <c r="B637" s="127" t="str">
        <f t="shared" si="18"/>
        <v/>
      </c>
      <c r="C637" s="67" t="str">
        <f t="shared" si="19"/>
        <v/>
      </c>
    </row>
    <row r="638" spans="2:3" ht="21" x14ac:dyDescent="0.45">
      <c r="B638" s="127" t="str">
        <f t="shared" si="18"/>
        <v/>
      </c>
      <c r="C638" s="67" t="str">
        <f t="shared" si="19"/>
        <v/>
      </c>
    </row>
    <row r="639" spans="2:3" ht="21" x14ac:dyDescent="0.45">
      <c r="B639" s="127" t="str">
        <f t="shared" si="18"/>
        <v/>
      </c>
      <c r="C639" s="67" t="str">
        <f t="shared" si="19"/>
        <v/>
      </c>
    </row>
    <row r="640" spans="2:3" ht="21" x14ac:dyDescent="0.45">
      <c r="B640" s="127" t="str">
        <f t="shared" si="18"/>
        <v/>
      </c>
      <c r="C640" s="67" t="str">
        <f t="shared" si="19"/>
        <v/>
      </c>
    </row>
    <row r="641" spans="2:3" ht="21" x14ac:dyDescent="0.45">
      <c r="B641" s="127" t="str">
        <f t="shared" si="18"/>
        <v/>
      </c>
      <c r="C641" s="67" t="str">
        <f t="shared" si="19"/>
        <v/>
      </c>
    </row>
    <row r="642" spans="2:3" ht="21" x14ac:dyDescent="0.45">
      <c r="B642" s="127" t="str">
        <f t="shared" si="18"/>
        <v/>
      </c>
      <c r="C642" s="67" t="str">
        <f t="shared" si="19"/>
        <v/>
      </c>
    </row>
    <row r="643" spans="2:3" ht="21" x14ac:dyDescent="0.45">
      <c r="B643" s="127" t="str">
        <f t="shared" si="18"/>
        <v/>
      </c>
      <c r="C643" s="67" t="str">
        <f t="shared" si="19"/>
        <v/>
      </c>
    </row>
    <row r="644" spans="2:3" ht="21" x14ac:dyDescent="0.45">
      <c r="B644" s="127" t="str">
        <f t="shared" si="18"/>
        <v/>
      </c>
      <c r="C644" s="67" t="str">
        <f t="shared" si="19"/>
        <v/>
      </c>
    </row>
    <row r="645" spans="2:3" ht="21" x14ac:dyDescent="0.45">
      <c r="B645" s="127" t="str">
        <f t="shared" si="18"/>
        <v/>
      </c>
      <c r="C645" s="67" t="str">
        <f t="shared" si="19"/>
        <v/>
      </c>
    </row>
    <row r="646" spans="2:3" ht="21" x14ac:dyDescent="0.45">
      <c r="B646" s="127" t="str">
        <f t="shared" ref="B646:B709" si="20">IF(ISNUMBER(D646),"...","")</f>
        <v/>
      </c>
      <c r="C646" s="67" t="str">
        <f t="shared" ref="C646:C709" si="21">IF(ISNUMBER(D646),"x","")</f>
        <v/>
      </c>
    </row>
    <row r="647" spans="2:3" ht="21" x14ac:dyDescent="0.45">
      <c r="B647" s="127" t="str">
        <f t="shared" si="20"/>
        <v/>
      </c>
      <c r="C647" s="67" t="str">
        <f t="shared" si="21"/>
        <v/>
      </c>
    </row>
    <row r="648" spans="2:3" ht="21" x14ac:dyDescent="0.45">
      <c r="B648" s="127" t="str">
        <f t="shared" si="20"/>
        <v/>
      </c>
      <c r="C648" s="67" t="str">
        <f t="shared" si="21"/>
        <v/>
      </c>
    </row>
    <row r="649" spans="2:3" ht="21" x14ac:dyDescent="0.45">
      <c r="B649" s="127" t="str">
        <f t="shared" si="20"/>
        <v/>
      </c>
      <c r="C649" s="67" t="str">
        <f t="shared" si="21"/>
        <v/>
      </c>
    </row>
    <row r="650" spans="2:3" ht="21" x14ac:dyDescent="0.45">
      <c r="B650" s="127" t="str">
        <f t="shared" si="20"/>
        <v/>
      </c>
      <c r="C650" s="67" t="str">
        <f t="shared" si="21"/>
        <v/>
      </c>
    </row>
    <row r="651" spans="2:3" ht="21" x14ac:dyDescent="0.45">
      <c r="B651" s="127" t="str">
        <f t="shared" si="20"/>
        <v/>
      </c>
      <c r="C651" s="67" t="str">
        <f t="shared" si="21"/>
        <v/>
      </c>
    </row>
    <row r="652" spans="2:3" ht="21" x14ac:dyDescent="0.45">
      <c r="B652" s="127" t="str">
        <f t="shared" si="20"/>
        <v/>
      </c>
      <c r="C652" s="67" t="str">
        <f t="shared" si="21"/>
        <v/>
      </c>
    </row>
    <row r="653" spans="2:3" ht="21" x14ac:dyDescent="0.45">
      <c r="B653" s="127" t="str">
        <f t="shared" si="20"/>
        <v/>
      </c>
      <c r="C653" s="67" t="str">
        <f t="shared" si="21"/>
        <v/>
      </c>
    </row>
    <row r="654" spans="2:3" ht="21" x14ac:dyDescent="0.45">
      <c r="B654" s="127" t="str">
        <f t="shared" si="20"/>
        <v/>
      </c>
      <c r="C654" s="67" t="str">
        <f t="shared" si="21"/>
        <v/>
      </c>
    </row>
    <row r="655" spans="2:3" ht="21" x14ac:dyDescent="0.45">
      <c r="B655" s="127" t="str">
        <f t="shared" si="20"/>
        <v/>
      </c>
      <c r="C655" s="67" t="str">
        <f t="shared" si="21"/>
        <v/>
      </c>
    </row>
    <row r="656" spans="2:3" ht="21" x14ac:dyDescent="0.45">
      <c r="B656" s="127" t="str">
        <f t="shared" si="20"/>
        <v/>
      </c>
      <c r="C656" s="67" t="str">
        <f t="shared" si="21"/>
        <v/>
      </c>
    </row>
    <row r="657" spans="2:3" ht="21" x14ac:dyDescent="0.45">
      <c r="B657" s="127" t="str">
        <f t="shared" si="20"/>
        <v/>
      </c>
      <c r="C657" s="67" t="str">
        <f t="shared" si="21"/>
        <v/>
      </c>
    </row>
    <row r="658" spans="2:3" ht="21" x14ac:dyDescent="0.45">
      <c r="B658" s="127" t="str">
        <f t="shared" si="20"/>
        <v/>
      </c>
      <c r="C658" s="67" t="str">
        <f t="shared" si="21"/>
        <v/>
      </c>
    </row>
    <row r="659" spans="2:3" ht="21" x14ac:dyDescent="0.45">
      <c r="B659" s="127" t="str">
        <f t="shared" si="20"/>
        <v/>
      </c>
      <c r="C659" s="67" t="str">
        <f t="shared" si="21"/>
        <v/>
      </c>
    </row>
    <row r="660" spans="2:3" ht="21" x14ac:dyDescent="0.45">
      <c r="B660" s="127" t="str">
        <f t="shared" si="20"/>
        <v/>
      </c>
      <c r="C660" s="67" t="str">
        <f t="shared" si="21"/>
        <v/>
      </c>
    </row>
    <row r="661" spans="2:3" ht="21" x14ac:dyDescent="0.45">
      <c r="B661" s="127" t="str">
        <f t="shared" si="20"/>
        <v/>
      </c>
      <c r="C661" s="67" t="str">
        <f t="shared" si="21"/>
        <v/>
      </c>
    </row>
    <row r="662" spans="2:3" ht="21" x14ac:dyDescent="0.45">
      <c r="B662" s="127" t="str">
        <f t="shared" si="20"/>
        <v/>
      </c>
      <c r="C662" s="67" t="str">
        <f t="shared" si="21"/>
        <v/>
      </c>
    </row>
    <row r="663" spans="2:3" ht="21" x14ac:dyDescent="0.45">
      <c r="B663" s="127" t="str">
        <f t="shared" si="20"/>
        <v/>
      </c>
      <c r="C663" s="67" t="str">
        <f t="shared" si="21"/>
        <v/>
      </c>
    </row>
    <row r="664" spans="2:3" ht="21" x14ac:dyDescent="0.45">
      <c r="B664" s="127" t="str">
        <f t="shared" si="20"/>
        <v/>
      </c>
      <c r="C664" s="67" t="str">
        <f t="shared" si="21"/>
        <v/>
      </c>
    </row>
    <row r="665" spans="2:3" ht="21" x14ac:dyDescent="0.45">
      <c r="B665" s="127" t="str">
        <f t="shared" si="20"/>
        <v/>
      </c>
      <c r="C665" s="67" t="str">
        <f t="shared" si="21"/>
        <v/>
      </c>
    </row>
    <row r="666" spans="2:3" ht="21" x14ac:dyDescent="0.45">
      <c r="B666" s="127" t="str">
        <f t="shared" si="20"/>
        <v/>
      </c>
      <c r="C666" s="67" t="str">
        <f t="shared" si="21"/>
        <v/>
      </c>
    </row>
    <row r="667" spans="2:3" ht="21" x14ac:dyDescent="0.45">
      <c r="B667" s="127" t="str">
        <f t="shared" si="20"/>
        <v/>
      </c>
      <c r="C667" s="67" t="str">
        <f t="shared" si="21"/>
        <v/>
      </c>
    </row>
    <row r="668" spans="2:3" ht="21" x14ac:dyDescent="0.45">
      <c r="B668" s="127" t="str">
        <f t="shared" si="20"/>
        <v/>
      </c>
      <c r="C668" s="67" t="str">
        <f t="shared" si="21"/>
        <v/>
      </c>
    </row>
    <row r="669" spans="2:3" ht="21" x14ac:dyDescent="0.45">
      <c r="B669" s="127" t="str">
        <f t="shared" si="20"/>
        <v/>
      </c>
      <c r="C669" s="67" t="str">
        <f t="shared" si="21"/>
        <v/>
      </c>
    </row>
    <row r="670" spans="2:3" ht="21" x14ac:dyDescent="0.45">
      <c r="B670" s="127" t="str">
        <f t="shared" si="20"/>
        <v/>
      </c>
      <c r="C670" s="67" t="str">
        <f t="shared" si="21"/>
        <v/>
      </c>
    </row>
    <row r="671" spans="2:3" ht="21" x14ac:dyDescent="0.45">
      <c r="B671" s="127" t="str">
        <f t="shared" si="20"/>
        <v/>
      </c>
      <c r="C671" s="67" t="str">
        <f t="shared" si="21"/>
        <v/>
      </c>
    </row>
    <row r="672" spans="2:3" ht="21" x14ac:dyDescent="0.45">
      <c r="B672" s="127" t="str">
        <f t="shared" si="20"/>
        <v/>
      </c>
      <c r="C672" s="67" t="str">
        <f t="shared" si="21"/>
        <v/>
      </c>
    </row>
    <row r="673" spans="2:3" ht="21" x14ac:dyDescent="0.45">
      <c r="B673" s="127" t="str">
        <f t="shared" si="20"/>
        <v/>
      </c>
      <c r="C673" s="67" t="str">
        <f t="shared" si="21"/>
        <v/>
      </c>
    </row>
    <row r="674" spans="2:3" ht="21" x14ac:dyDescent="0.45">
      <c r="B674" s="127" t="str">
        <f t="shared" si="20"/>
        <v/>
      </c>
      <c r="C674" s="67" t="str">
        <f t="shared" si="21"/>
        <v/>
      </c>
    </row>
    <row r="675" spans="2:3" ht="21" x14ac:dyDescent="0.45">
      <c r="B675" s="127" t="str">
        <f t="shared" si="20"/>
        <v/>
      </c>
      <c r="C675" s="67" t="str">
        <f t="shared" si="21"/>
        <v/>
      </c>
    </row>
    <row r="676" spans="2:3" ht="21" x14ac:dyDescent="0.45">
      <c r="B676" s="127" t="str">
        <f t="shared" si="20"/>
        <v/>
      </c>
      <c r="C676" s="67" t="str">
        <f t="shared" si="21"/>
        <v/>
      </c>
    </row>
    <row r="677" spans="2:3" ht="21" x14ac:dyDescent="0.45">
      <c r="B677" s="127" t="str">
        <f t="shared" si="20"/>
        <v/>
      </c>
      <c r="C677" s="67" t="str">
        <f t="shared" si="21"/>
        <v/>
      </c>
    </row>
    <row r="678" spans="2:3" ht="21" x14ac:dyDescent="0.45">
      <c r="B678" s="127" t="str">
        <f t="shared" si="20"/>
        <v/>
      </c>
      <c r="C678" s="67" t="str">
        <f t="shared" si="21"/>
        <v/>
      </c>
    </row>
    <row r="679" spans="2:3" ht="21" x14ac:dyDescent="0.45">
      <c r="B679" s="127" t="str">
        <f t="shared" si="20"/>
        <v/>
      </c>
      <c r="C679" s="67" t="str">
        <f t="shared" si="21"/>
        <v/>
      </c>
    </row>
    <row r="680" spans="2:3" ht="21" x14ac:dyDescent="0.45">
      <c r="B680" s="127" t="str">
        <f t="shared" si="20"/>
        <v/>
      </c>
      <c r="C680" s="67" t="str">
        <f t="shared" si="21"/>
        <v/>
      </c>
    </row>
    <row r="681" spans="2:3" ht="21" x14ac:dyDescent="0.45">
      <c r="B681" s="127" t="str">
        <f t="shared" si="20"/>
        <v/>
      </c>
      <c r="C681" s="67" t="str">
        <f t="shared" si="21"/>
        <v/>
      </c>
    </row>
    <row r="682" spans="2:3" ht="21" x14ac:dyDescent="0.45">
      <c r="B682" s="127" t="str">
        <f t="shared" si="20"/>
        <v/>
      </c>
      <c r="C682" s="67" t="str">
        <f t="shared" si="21"/>
        <v/>
      </c>
    </row>
    <row r="683" spans="2:3" ht="21" x14ac:dyDescent="0.45">
      <c r="B683" s="127" t="str">
        <f t="shared" si="20"/>
        <v/>
      </c>
      <c r="C683" s="67" t="str">
        <f t="shared" si="21"/>
        <v/>
      </c>
    </row>
    <row r="684" spans="2:3" ht="21" x14ac:dyDescent="0.45">
      <c r="B684" s="127" t="str">
        <f t="shared" si="20"/>
        <v/>
      </c>
      <c r="C684" s="67" t="str">
        <f t="shared" si="21"/>
        <v/>
      </c>
    </row>
    <row r="685" spans="2:3" ht="21" x14ac:dyDescent="0.45">
      <c r="B685" s="127" t="str">
        <f t="shared" si="20"/>
        <v/>
      </c>
      <c r="C685" s="67" t="str">
        <f t="shared" si="21"/>
        <v/>
      </c>
    </row>
    <row r="686" spans="2:3" ht="21" x14ac:dyDescent="0.45">
      <c r="B686" s="127" t="str">
        <f t="shared" si="20"/>
        <v/>
      </c>
      <c r="C686" s="67" t="str">
        <f t="shared" si="21"/>
        <v/>
      </c>
    </row>
    <row r="687" spans="2:3" ht="21" x14ac:dyDescent="0.45">
      <c r="B687" s="127" t="str">
        <f t="shared" si="20"/>
        <v/>
      </c>
      <c r="C687" s="67" t="str">
        <f t="shared" si="21"/>
        <v/>
      </c>
    </row>
    <row r="688" spans="2:3" ht="21" x14ac:dyDescent="0.45">
      <c r="B688" s="127" t="str">
        <f t="shared" si="20"/>
        <v/>
      </c>
      <c r="C688" s="67" t="str">
        <f t="shared" si="21"/>
        <v/>
      </c>
    </row>
    <row r="689" spans="2:3" ht="21" x14ac:dyDescent="0.45">
      <c r="B689" s="127" t="str">
        <f t="shared" si="20"/>
        <v/>
      </c>
      <c r="C689" s="67" t="str">
        <f t="shared" si="21"/>
        <v/>
      </c>
    </row>
    <row r="690" spans="2:3" ht="21" x14ac:dyDescent="0.45">
      <c r="B690" s="127" t="str">
        <f t="shared" si="20"/>
        <v/>
      </c>
      <c r="C690" s="67" t="str">
        <f t="shared" si="21"/>
        <v/>
      </c>
    </row>
    <row r="691" spans="2:3" ht="21" x14ac:dyDescent="0.45">
      <c r="B691" s="127" t="str">
        <f t="shared" si="20"/>
        <v/>
      </c>
      <c r="C691" s="67" t="str">
        <f t="shared" si="21"/>
        <v/>
      </c>
    </row>
    <row r="692" spans="2:3" ht="21" x14ac:dyDescent="0.45">
      <c r="B692" s="127" t="str">
        <f t="shared" si="20"/>
        <v/>
      </c>
      <c r="C692" s="67" t="str">
        <f t="shared" si="21"/>
        <v/>
      </c>
    </row>
    <row r="693" spans="2:3" ht="21" x14ac:dyDescent="0.45">
      <c r="B693" s="127" t="str">
        <f t="shared" si="20"/>
        <v/>
      </c>
      <c r="C693" s="67" t="str">
        <f t="shared" si="21"/>
        <v/>
      </c>
    </row>
    <row r="694" spans="2:3" ht="21" x14ac:dyDescent="0.45">
      <c r="B694" s="127" t="str">
        <f t="shared" si="20"/>
        <v/>
      </c>
      <c r="C694" s="67" t="str">
        <f t="shared" si="21"/>
        <v/>
      </c>
    </row>
    <row r="695" spans="2:3" ht="21" x14ac:dyDescent="0.45">
      <c r="B695" s="127" t="str">
        <f t="shared" si="20"/>
        <v/>
      </c>
      <c r="C695" s="67" t="str">
        <f t="shared" si="21"/>
        <v/>
      </c>
    </row>
    <row r="696" spans="2:3" ht="21" x14ac:dyDescent="0.45">
      <c r="B696" s="127" t="str">
        <f t="shared" si="20"/>
        <v/>
      </c>
      <c r="C696" s="67" t="str">
        <f t="shared" si="21"/>
        <v/>
      </c>
    </row>
    <row r="697" spans="2:3" ht="21" x14ac:dyDescent="0.45">
      <c r="B697" s="127" t="str">
        <f t="shared" si="20"/>
        <v/>
      </c>
      <c r="C697" s="67" t="str">
        <f t="shared" si="21"/>
        <v/>
      </c>
    </row>
    <row r="698" spans="2:3" ht="21" x14ac:dyDescent="0.45">
      <c r="B698" s="127" t="str">
        <f t="shared" si="20"/>
        <v/>
      </c>
      <c r="C698" s="67" t="str">
        <f t="shared" si="21"/>
        <v/>
      </c>
    </row>
    <row r="699" spans="2:3" ht="21" x14ac:dyDescent="0.45">
      <c r="B699" s="127" t="str">
        <f t="shared" si="20"/>
        <v/>
      </c>
      <c r="C699" s="67" t="str">
        <f t="shared" si="21"/>
        <v/>
      </c>
    </row>
    <row r="700" spans="2:3" ht="21" x14ac:dyDescent="0.45">
      <c r="B700" s="127" t="str">
        <f t="shared" si="20"/>
        <v/>
      </c>
      <c r="C700" s="67" t="str">
        <f t="shared" si="21"/>
        <v/>
      </c>
    </row>
    <row r="701" spans="2:3" ht="21" x14ac:dyDescent="0.45">
      <c r="B701" s="127" t="str">
        <f t="shared" si="20"/>
        <v/>
      </c>
      <c r="C701" s="67" t="str">
        <f t="shared" si="21"/>
        <v/>
      </c>
    </row>
    <row r="702" spans="2:3" ht="21" x14ac:dyDescent="0.45">
      <c r="B702" s="127" t="str">
        <f t="shared" si="20"/>
        <v/>
      </c>
      <c r="C702" s="67" t="str">
        <f t="shared" si="21"/>
        <v/>
      </c>
    </row>
    <row r="703" spans="2:3" ht="21" x14ac:dyDescent="0.45">
      <c r="B703" s="127" t="str">
        <f t="shared" si="20"/>
        <v/>
      </c>
      <c r="C703" s="67" t="str">
        <f t="shared" si="21"/>
        <v/>
      </c>
    </row>
    <row r="704" spans="2:3" ht="21" x14ac:dyDescent="0.45">
      <c r="B704" s="127" t="str">
        <f t="shared" si="20"/>
        <v/>
      </c>
      <c r="C704" s="67" t="str">
        <f t="shared" si="21"/>
        <v/>
      </c>
    </row>
    <row r="705" spans="2:3" ht="21" x14ac:dyDescent="0.45">
      <c r="B705" s="127" t="str">
        <f t="shared" si="20"/>
        <v/>
      </c>
      <c r="C705" s="67" t="str">
        <f t="shared" si="21"/>
        <v/>
      </c>
    </row>
    <row r="706" spans="2:3" ht="21" x14ac:dyDescent="0.45">
      <c r="B706" s="127" t="str">
        <f t="shared" si="20"/>
        <v/>
      </c>
      <c r="C706" s="67" t="str">
        <f t="shared" si="21"/>
        <v/>
      </c>
    </row>
    <row r="707" spans="2:3" ht="21" x14ac:dyDescent="0.45">
      <c r="B707" s="127" t="str">
        <f t="shared" si="20"/>
        <v/>
      </c>
      <c r="C707" s="67" t="str">
        <f t="shared" si="21"/>
        <v/>
      </c>
    </row>
    <row r="708" spans="2:3" ht="21" x14ac:dyDescent="0.45">
      <c r="B708" s="127" t="str">
        <f t="shared" si="20"/>
        <v/>
      </c>
      <c r="C708" s="67" t="str">
        <f t="shared" si="21"/>
        <v/>
      </c>
    </row>
    <row r="709" spans="2:3" ht="21" x14ac:dyDescent="0.45">
      <c r="B709" s="127" t="str">
        <f t="shared" si="20"/>
        <v/>
      </c>
      <c r="C709" s="67" t="str">
        <f t="shared" si="21"/>
        <v/>
      </c>
    </row>
    <row r="710" spans="2:3" ht="21" x14ac:dyDescent="0.45">
      <c r="B710" s="127" t="str">
        <f t="shared" ref="B710:B773" si="22">IF(ISNUMBER(D710),"...","")</f>
        <v/>
      </c>
      <c r="C710" s="67" t="str">
        <f t="shared" ref="C710:C773" si="23">IF(ISNUMBER(D710),"x","")</f>
        <v/>
      </c>
    </row>
    <row r="711" spans="2:3" ht="21" x14ac:dyDescent="0.45">
      <c r="B711" s="127" t="str">
        <f t="shared" si="22"/>
        <v/>
      </c>
      <c r="C711" s="67" t="str">
        <f t="shared" si="23"/>
        <v/>
      </c>
    </row>
    <row r="712" spans="2:3" ht="21" x14ac:dyDescent="0.45">
      <c r="B712" s="127" t="str">
        <f t="shared" si="22"/>
        <v/>
      </c>
      <c r="C712" s="67" t="str">
        <f t="shared" si="23"/>
        <v/>
      </c>
    </row>
    <row r="713" spans="2:3" ht="21" x14ac:dyDescent="0.45">
      <c r="B713" s="127" t="str">
        <f t="shared" si="22"/>
        <v/>
      </c>
      <c r="C713" s="67" t="str">
        <f t="shared" si="23"/>
        <v/>
      </c>
    </row>
    <row r="714" spans="2:3" ht="21" x14ac:dyDescent="0.45">
      <c r="B714" s="127" t="str">
        <f t="shared" si="22"/>
        <v/>
      </c>
      <c r="C714" s="67" t="str">
        <f t="shared" si="23"/>
        <v/>
      </c>
    </row>
    <row r="715" spans="2:3" ht="21" x14ac:dyDescent="0.45">
      <c r="B715" s="127" t="str">
        <f t="shared" si="22"/>
        <v/>
      </c>
      <c r="C715" s="67" t="str">
        <f t="shared" si="23"/>
        <v/>
      </c>
    </row>
    <row r="716" spans="2:3" ht="21" x14ac:dyDescent="0.45">
      <c r="B716" s="127" t="str">
        <f t="shared" si="22"/>
        <v/>
      </c>
      <c r="C716" s="67" t="str">
        <f t="shared" si="23"/>
        <v/>
      </c>
    </row>
    <row r="717" spans="2:3" ht="21" x14ac:dyDescent="0.45">
      <c r="B717" s="127" t="str">
        <f t="shared" si="22"/>
        <v/>
      </c>
      <c r="C717" s="67" t="str">
        <f t="shared" si="23"/>
        <v/>
      </c>
    </row>
    <row r="718" spans="2:3" ht="21" x14ac:dyDescent="0.45">
      <c r="B718" s="127" t="str">
        <f t="shared" si="22"/>
        <v/>
      </c>
      <c r="C718" s="67" t="str">
        <f t="shared" si="23"/>
        <v/>
      </c>
    </row>
    <row r="719" spans="2:3" ht="21" x14ac:dyDescent="0.45">
      <c r="B719" s="127" t="str">
        <f t="shared" si="22"/>
        <v/>
      </c>
      <c r="C719" s="67" t="str">
        <f t="shared" si="23"/>
        <v/>
      </c>
    </row>
    <row r="720" spans="2:3" ht="21" x14ac:dyDescent="0.45">
      <c r="B720" s="127" t="str">
        <f t="shared" si="22"/>
        <v/>
      </c>
      <c r="C720" s="67" t="str">
        <f t="shared" si="23"/>
        <v/>
      </c>
    </row>
    <row r="721" spans="2:3" ht="21" x14ac:dyDescent="0.45">
      <c r="B721" s="127" t="str">
        <f t="shared" si="22"/>
        <v/>
      </c>
      <c r="C721" s="67" t="str">
        <f t="shared" si="23"/>
        <v/>
      </c>
    </row>
    <row r="722" spans="2:3" ht="21" x14ac:dyDescent="0.45">
      <c r="B722" s="127" t="str">
        <f t="shared" si="22"/>
        <v/>
      </c>
      <c r="C722" s="67" t="str">
        <f t="shared" si="23"/>
        <v/>
      </c>
    </row>
    <row r="723" spans="2:3" ht="21" x14ac:dyDescent="0.45">
      <c r="B723" s="127" t="str">
        <f t="shared" si="22"/>
        <v/>
      </c>
      <c r="C723" s="67" t="str">
        <f t="shared" si="23"/>
        <v/>
      </c>
    </row>
    <row r="724" spans="2:3" ht="21" x14ac:dyDescent="0.45">
      <c r="B724" s="127" t="str">
        <f t="shared" si="22"/>
        <v/>
      </c>
      <c r="C724" s="67" t="str">
        <f t="shared" si="23"/>
        <v/>
      </c>
    </row>
    <row r="725" spans="2:3" ht="21" x14ac:dyDescent="0.45">
      <c r="B725" s="127" t="str">
        <f t="shared" si="22"/>
        <v/>
      </c>
      <c r="C725" s="67" t="str">
        <f t="shared" si="23"/>
        <v/>
      </c>
    </row>
    <row r="726" spans="2:3" ht="21" x14ac:dyDescent="0.45">
      <c r="B726" s="127" t="str">
        <f t="shared" si="22"/>
        <v/>
      </c>
      <c r="C726" s="67" t="str">
        <f t="shared" si="23"/>
        <v/>
      </c>
    </row>
    <row r="727" spans="2:3" ht="21" x14ac:dyDescent="0.45">
      <c r="B727" s="127" t="str">
        <f t="shared" si="22"/>
        <v/>
      </c>
      <c r="C727" s="67" t="str">
        <f t="shared" si="23"/>
        <v/>
      </c>
    </row>
    <row r="728" spans="2:3" ht="21" x14ac:dyDescent="0.45">
      <c r="B728" s="127" t="str">
        <f t="shared" si="22"/>
        <v/>
      </c>
      <c r="C728" s="67" t="str">
        <f t="shared" si="23"/>
        <v/>
      </c>
    </row>
    <row r="729" spans="2:3" ht="21" x14ac:dyDescent="0.45">
      <c r="B729" s="127" t="str">
        <f t="shared" si="22"/>
        <v/>
      </c>
      <c r="C729" s="67" t="str">
        <f t="shared" si="23"/>
        <v/>
      </c>
    </row>
    <row r="730" spans="2:3" ht="21" x14ac:dyDescent="0.45">
      <c r="B730" s="127" t="str">
        <f t="shared" si="22"/>
        <v/>
      </c>
      <c r="C730" s="67" t="str">
        <f t="shared" si="23"/>
        <v/>
      </c>
    </row>
    <row r="731" spans="2:3" ht="21" x14ac:dyDescent="0.45">
      <c r="B731" s="127" t="str">
        <f t="shared" si="22"/>
        <v/>
      </c>
      <c r="C731" s="67" t="str">
        <f t="shared" si="23"/>
        <v/>
      </c>
    </row>
    <row r="732" spans="2:3" ht="21" x14ac:dyDescent="0.45">
      <c r="B732" s="127" t="str">
        <f t="shared" si="22"/>
        <v/>
      </c>
      <c r="C732" s="67" t="str">
        <f t="shared" si="23"/>
        <v/>
      </c>
    </row>
    <row r="733" spans="2:3" ht="21" x14ac:dyDescent="0.45">
      <c r="B733" s="127" t="str">
        <f t="shared" si="22"/>
        <v/>
      </c>
      <c r="C733" s="67" t="str">
        <f t="shared" si="23"/>
        <v/>
      </c>
    </row>
    <row r="734" spans="2:3" ht="21" x14ac:dyDescent="0.45">
      <c r="B734" s="127" t="str">
        <f t="shared" si="22"/>
        <v/>
      </c>
      <c r="C734" s="67" t="str">
        <f t="shared" si="23"/>
        <v/>
      </c>
    </row>
    <row r="735" spans="2:3" ht="21" x14ac:dyDescent="0.45">
      <c r="B735" s="127" t="str">
        <f t="shared" si="22"/>
        <v/>
      </c>
      <c r="C735" s="67" t="str">
        <f t="shared" si="23"/>
        <v/>
      </c>
    </row>
    <row r="736" spans="2:3" ht="21" x14ac:dyDescent="0.45">
      <c r="B736" s="127" t="str">
        <f t="shared" si="22"/>
        <v/>
      </c>
      <c r="C736" s="67" t="str">
        <f t="shared" si="23"/>
        <v/>
      </c>
    </row>
    <row r="737" spans="2:3" ht="21" x14ac:dyDescent="0.45">
      <c r="B737" s="127" t="str">
        <f t="shared" si="22"/>
        <v/>
      </c>
      <c r="C737" s="67" t="str">
        <f t="shared" si="23"/>
        <v/>
      </c>
    </row>
    <row r="738" spans="2:3" ht="21" x14ac:dyDescent="0.45">
      <c r="B738" s="127" t="str">
        <f t="shared" si="22"/>
        <v/>
      </c>
      <c r="C738" s="67" t="str">
        <f t="shared" si="23"/>
        <v/>
      </c>
    </row>
    <row r="739" spans="2:3" ht="21" x14ac:dyDescent="0.45">
      <c r="B739" s="127" t="str">
        <f t="shared" si="22"/>
        <v/>
      </c>
      <c r="C739" s="67" t="str">
        <f t="shared" si="23"/>
        <v/>
      </c>
    </row>
    <row r="740" spans="2:3" ht="21" x14ac:dyDescent="0.45">
      <c r="B740" s="127" t="str">
        <f t="shared" si="22"/>
        <v/>
      </c>
      <c r="C740" s="67" t="str">
        <f t="shared" si="23"/>
        <v/>
      </c>
    </row>
    <row r="741" spans="2:3" ht="21" x14ac:dyDescent="0.45">
      <c r="B741" s="127" t="str">
        <f t="shared" si="22"/>
        <v/>
      </c>
      <c r="C741" s="67" t="str">
        <f t="shared" si="23"/>
        <v/>
      </c>
    </row>
    <row r="742" spans="2:3" ht="21" x14ac:dyDescent="0.45">
      <c r="B742" s="127" t="str">
        <f t="shared" si="22"/>
        <v/>
      </c>
      <c r="C742" s="67" t="str">
        <f t="shared" si="23"/>
        <v/>
      </c>
    </row>
    <row r="743" spans="2:3" ht="21" x14ac:dyDescent="0.45">
      <c r="B743" s="127" t="str">
        <f t="shared" si="22"/>
        <v/>
      </c>
      <c r="C743" s="67" t="str">
        <f t="shared" si="23"/>
        <v/>
      </c>
    </row>
    <row r="744" spans="2:3" ht="21" x14ac:dyDescent="0.45">
      <c r="B744" s="127" t="str">
        <f t="shared" si="22"/>
        <v/>
      </c>
      <c r="C744" s="67" t="str">
        <f t="shared" si="23"/>
        <v/>
      </c>
    </row>
    <row r="745" spans="2:3" ht="21" x14ac:dyDescent="0.45">
      <c r="B745" s="127" t="str">
        <f t="shared" si="22"/>
        <v/>
      </c>
      <c r="C745" s="67" t="str">
        <f t="shared" si="23"/>
        <v/>
      </c>
    </row>
    <row r="746" spans="2:3" ht="21" x14ac:dyDescent="0.45">
      <c r="B746" s="127" t="str">
        <f t="shared" si="22"/>
        <v/>
      </c>
      <c r="C746" s="67" t="str">
        <f t="shared" si="23"/>
        <v/>
      </c>
    </row>
    <row r="747" spans="2:3" ht="21" x14ac:dyDescent="0.45">
      <c r="B747" s="127" t="str">
        <f t="shared" si="22"/>
        <v/>
      </c>
      <c r="C747" s="67" t="str">
        <f t="shared" si="23"/>
        <v/>
      </c>
    </row>
    <row r="748" spans="2:3" ht="21" x14ac:dyDescent="0.45">
      <c r="B748" s="127" t="str">
        <f t="shared" si="22"/>
        <v/>
      </c>
      <c r="C748" s="67" t="str">
        <f t="shared" si="23"/>
        <v/>
      </c>
    </row>
    <row r="749" spans="2:3" ht="21" x14ac:dyDescent="0.45">
      <c r="B749" s="127" t="str">
        <f t="shared" si="22"/>
        <v/>
      </c>
      <c r="C749" s="67" t="str">
        <f t="shared" si="23"/>
        <v/>
      </c>
    </row>
    <row r="750" spans="2:3" ht="21" x14ac:dyDescent="0.45">
      <c r="B750" s="127" t="str">
        <f t="shared" si="22"/>
        <v/>
      </c>
      <c r="C750" s="67" t="str">
        <f t="shared" si="23"/>
        <v/>
      </c>
    </row>
    <row r="751" spans="2:3" ht="21" x14ac:dyDescent="0.45">
      <c r="B751" s="127" t="str">
        <f t="shared" si="22"/>
        <v/>
      </c>
      <c r="C751" s="67" t="str">
        <f t="shared" si="23"/>
        <v/>
      </c>
    </row>
    <row r="752" spans="2:3" ht="21" x14ac:dyDescent="0.45">
      <c r="B752" s="127" t="str">
        <f t="shared" si="22"/>
        <v/>
      </c>
      <c r="C752" s="67" t="str">
        <f t="shared" si="23"/>
        <v/>
      </c>
    </row>
    <row r="753" spans="2:3" ht="21" x14ac:dyDescent="0.45">
      <c r="B753" s="127" t="str">
        <f t="shared" si="22"/>
        <v/>
      </c>
      <c r="C753" s="67" t="str">
        <f t="shared" si="23"/>
        <v/>
      </c>
    </row>
    <row r="754" spans="2:3" ht="21" x14ac:dyDescent="0.45">
      <c r="B754" s="127" t="str">
        <f t="shared" si="22"/>
        <v/>
      </c>
      <c r="C754" s="67" t="str">
        <f t="shared" si="23"/>
        <v/>
      </c>
    </row>
    <row r="755" spans="2:3" ht="21" x14ac:dyDescent="0.45">
      <c r="B755" s="127" t="str">
        <f t="shared" si="22"/>
        <v/>
      </c>
      <c r="C755" s="67" t="str">
        <f t="shared" si="23"/>
        <v/>
      </c>
    </row>
    <row r="756" spans="2:3" ht="21" x14ac:dyDescent="0.45">
      <c r="B756" s="127" t="str">
        <f t="shared" si="22"/>
        <v/>
      </c>
      <c r="C756" s="67" t="str">
        <f t="shared" si="23"/>
        <v/>
      </c>
    </row>
    <row r="757" spans="2:3" ht="21" x14ac:dyDescent="0.45">
      <c r="B757" s="127" t="str">
        <f t="shared" si="22"/>
        <v/>
      </c>
      <c r="C757" s="67" t="str">
        <f t="shared" si="23"/>
        <v/>
      </c>
    </row>
    <row r="758" spans="2:3" ht="21" x14ac:dyDescent="0.45">
      <c r="B758" s="127" t="str">
        <f t="shared" si="22"/>
        <v/>
      </c>
      <c r="C758" s="67" t="str">
        <f t="shared" si="23"/>
        <v/>
      </c>
    </row>
    <row r="759" spans="2:3" ht="21" x14ac:dyDescent="0.45">
      <c r="B759" s="127" t="str">
        <f t="shared" si="22"/>
        <v/>
      </c>
      <c r="C759" s="67" t="str">
        <f t="shared" si="23"/>
        <v/>
      </c>
    </row>
    <row r="760" spans="2:3" ht="21" x14ac:dyDescent="0.45">
      <c r="B760" s="127" t="str">
        <f t="shared" si="22"/>
        <v/>
      </c>
      <c r="C760" s="67" t="str">
        <f t="shared" si="23"/>
        <v/>
      </c>
    </row>
    <row r="761" spans="2:3" ht="21" x14ac:dyDescent="0.45">
      <c r="B761" s="127" t="str">
        <f t="shared" si="22"/>
        <v/>
      </c>
      <c r="C761" s="67" t="str">
        <f t="shared" si="23"/>
        <v/>
      </c>
    </row>
    <row r="762" spans="2:3" ht="21" x14ac:dyDescent="0.45">
      <c r="B762" s="127" t="str">
        <f t="shared" si="22"/>
        <v/>
      </c>
      <c r="C762" s="67" t="str">
        <f t="shared" si="23"/>
        <v/>
      </c>
    </row>
    <row r="763" spans="2:3" ht="21" x14ac:dyDescent="0.45">
      <c r="B763" s="127" t="str">
        <f t="shared" si="22"/>
        <v/>
      </c>
      <c r="C763" s="67" t="str">
        <f t="shared" si="23"/>
        <v/>
      </c>
    </row>
    <row r="764" spans="2:3" ht="21" x14ac:dyDescent="0.45">
      <c r="B764" s="127" t="str">
        <f t="shared" si="22"/>
        <v/>
      </c>
      <c r="C764" s="67" t="str">
        <f t="shared" si="23"/>
        <v/>
      </c>
    </row>
    <row r="765" spans="2:3" ht="21" x14ac:dyDescent="0.45">
      <c r="B765" s="127" t="str">
        <f t="shared" si="22"/>
        <v/>
      </c>
      <c r="C765" s="67" t="str">
        <f t="shared" si="23"/>
        <v/>
      </c>
    </row>
    <row r="766" spans="2:3" ht="21" x14ac:dyDescent="0.45">
      <c r="B766" s="127" t="str">
        <f t="shared" si="22"/>
        <v/>
      </c>
      <c r="C766" s="67" t="str">
        <f t="shared" si="23"/>
        <v/>
      </c>
    </row>
    <row r="767" spans="2:3" ht="21" x14ac:dyDescent="0.45">
      <c r="B767" s="127" t="str">
        <f t="shared" si="22"/>
        <v/>
      </c>
      <c r="C767" s="67" t="str">
        <f t="shared" si="23"/>
        <v/>
      </c>
    </row>
    <row r="768" spans="2:3" ht="21" x14ac:dyDescent="0.45">
      <c r="B768" s="127" t="str">
        <f t="shared" si="22"/>
        <v/>
      </c>
      <c r="C768" s="67" t="str">
        <f t="shared" si="23"/>
        <v/>
      </c>
    </row>
    <row r="769" spans="2:3" ht="21" x14ac:dyDescent="0.45">
      <c r="B769" s="127" t="str">
        <f t="shared" si="22"/>
        <v/>
      </c>
      <c r="C769" s="67" t="str">
        <f t="shared" si="23"/>
        <v/>
      </c>
    </row>
    <row r="770" spans="2:3" ht="21" x14ac:dyDescent="0.45">
      <c r="B770" s="127" t="str">
        <f t="shared" si="22"/>
        <v/>
      </c>
      <c r="C770" s="67" t="str">
        <f t="shared" si="23"/>
        <v/>
      </c>
    </row>
    <row r="771" spans="2:3" ht="21" x14ac:dyDescent="0.45">
      <c r="B771" s="127" t="str">
        <f t="shared" si="22"/>
        <v/>
      </c>
      <c r="C771" s="67" t="str">
        <f t="shared" si="23"/>
        <v/>
      </c>
    </row>
    <row r="772" spans="2:3" ht="21" x14ac:dyDescent="0.45">
      <c r="B772" s="127" t="str">
        <f t="shared" si="22"/>
        <v/>
      </c>
      <c r="C772" s="67" t="str">
        <f t="shared" si="23"/>
        <v/>
      </c>
    </row>
    <row r="773" spans="2:3" ht="21" x14ac:dyDescent="0.45">
      <c r="B773" s="127" t="str">
        <f t="shared" si="22"/>
        <v/>
      </c>
      <c r="C773" s="67" t="str">
        <f t="shared" si="23"/>
        <v/>
      </c>
    </row>
    <row r="774" spans="2:3" ht="21" x14ac:dyDescent="0.45">
      <c r="B774" s="127" t="str">
        <f t="shared" ref="B774:B837" si="24">IF(ISNUMBER(D774),"...","")</f>
        <v/>
      </c>
      <c r="C774" s="67" t="str">
        <f t="shared" ref="C774:C837" si="25">IF(ISNUMBER(D774),"x","")</f>
        <v/>
      </c>
    </row>
    <row r="775" spans="2:3" ht="21" x14ac:dyDescent="0.45">
      <c r="B775" s="127" t="str">
        <f t="shared" si="24"/>
        <v/>
      </c>
      <c r="C775" s="67" t="str">
        <f t="shared" si="25"/>
        <v/>
      </c>
    </row>
    <row r="776" spans="2:3" ht="21" x14ac:dyDescent="0.45">
      <c r="B776" s="127" t="str">
        <f t="shared" si="24"/>
        <v/>
      </c>
      <c r="C776" s="67" t="str">
        <f t="shared" si="25"/>
        <v/>
      </c>
    </row>
    <row r="777" spans="2:3" ht="21" x14ac:dyDescent="0.45">
      <c r="B777" s="127" t="str">
        <f t="shared" si="24"/>
        <v/>
      </c>
      <c r="C777" s="67" t="str">
        <f t="shared" si="25"/>
        <v/>
      </c>
    </row>
    <row r="778" spans="2:3" ht="21" x14ac:dyDescent="0.45">
      <c r="B778" s="127" t="str">
        <f t="shared" si="24"/>
        <v/>
      </c>
      <c r="C778" s="67" t="str">
        <f t="shared" si="25"/>
        <v/>
      </c>
    </row>
    <row r="779" spans="2:3" ht="21" x14ac:dyDescent="0.45">
      <c r="B779" s="127" t="str">
        <f t="shared" si="24"/>
        <v/>
      </c>
      <c r="C779" s="67" t="str">
        <f t="shared" si="25"/>
        <v/>
      </c>
    </row>
    <row r="780" spans="2:3" ht="21" x14ac:dyDescent="0.45">
      <c r="B780" s="127" t="str">
        <f t="shared" si="24"/>
        <v/>
      </c>
      <c r="C780" s="67" t="str">
        <f t="shared" si="25"/>
        <v/>
      </c>
    </row>
    <row r="781" spans="2:3" ht="21" x14ac:dyDescent="0.45">
      <c r="B781" s="127" t="str">
        <f t="shared" si="24"/>
        <v/>
      </c>
      <c r="C781" s="67" t="str">
        <f t="shared" si="25"/>
        <v/>
      </c>
    </row>
    <row r="782" spans="2:3" ht="21" x14ac:dyDescent="0.45">
      <c r="B782" s="127" t="str">
        <f t="shared" si="24"/>
        <v/>
      </c>
      <c r="C782" s="67" t="str">
        <f t="shared" si="25"/>
        <v/>
      </c>
    </row>
    <row r="783" spans="2:3" ht="21" x14ac:dyDescent="0.45">
      <c r="B783" s="127" t="str">
        <f t="shared" si="24"/>
        <v/>
      </c>
      <c r="C783" s="67" t="str">
        <f t="shared" si="25"/>
        <v/>
      </c>
    </row>
    <row r="784" spans="2:3" ht="21" x14ac:dyDescent="0.45">
      <c r="B784" s="127" t="str">
        <f t="shared" si="24"/>
        <v/>
      </c>
      <c r="C784" s="67" t="str">
        <f t="shared" si="25"/>
        <v/>
      </c>
    </row>
    <row r="785" spans="2:3" ht="21" x14ac:dyDescent="0.45">
      <c r="B785" s="127" t="str">
        <f t="shared" si="24"/>
        <v/>
      </c>
      <c r="C785" s="67" t="str">
        <f t="shared" si="25"/>
        <v/>
      </c>
    </row>
    <row r="786" spans="2:3" ht="21" x14ac:dyDescent="0.45">
      <c r="B786" s="127" t="str">
        <f t="shared" si="24"/>
        <v/>
      </c>
      <c r="C786" s="67" t="str">
        <f t="shared" si="25"/>
        <v/>
      </c>
    </row>
    <row r="787" spans="2:3" ht="21" x14ac:dyDescent="0.45">
      <c r="B787" s="127" t="str">
        <f t="shared" si="24"/>
        <v/>
      </c>
      <c r="C787" s="67" t="str">
        <f t="shared" si="25"/>
        <v/>
      </c>
    </row>
    <row r="788" spans="2:3" ht="21" x14ac:dyDescent="0.45">
      <c r="B788" s="127" t="str">
        <f t="shared" si="24"/>
        <v/>
      </c>
      <c r="C788" s="67" t="str">
        <f t="shared" si="25"/>
        <v/>
      </c>
    </row>
    <row r="789" spans="2:3" ht="21" x14ac:dyDescent="0.45">
      <c r="B789" s="127" t="str">
        <f t="shared" si="24"/>
        <v/>
      </c>
      <c r="C789" s="67" t="str">
        <f t="shared" si="25"/>
        <v/>
      </c>
    </row>
    <row r="790" spans="2:3" ht="21" x14ac:dyDescent="0.45">
      <c r="B790" s="127" t="str">
        <f t="shared" si="24"/>
        <v/>
      </c>
      <c r="C790" s="67" t="str">
        <f t="shared" si="25"/>
        <v/>
      </c>
    </row>
    <row r="791" spans="2:3" ht="21" x14ac:dyDescent="0.45">
      <c r="B791" s="127" t="str">
        <f t="shared" si="24"/>
        <v/>
      </c>
      <c r="C791" s="67" t="str">
        <f t="shared" si="25"/>
        <v/>
      </c>
    </row>
    <row r="792" spans="2:3" ht="21" x14ac:dyDescent="0.45">
      <c r="B792" s="127" t="str">
        <f t="shared" si="24"/>
        <v/>
      </c>
      <c r="C792" s="67" t="str">
        <f t="shared" si="25"/>
        <v/>
      </c>
    </row>
    <row r="793" spans="2:3" ht="21" x14ac:dyDescent="0.45">
      <c r="B793" s="127" t="str">
        <f t="shared" si="24"/>
        <v/>
      </c>
      <c r="C793" s="67" t="str">
        <f t="shared" si="25"/>
        <v/>
      </c>
    </row>
    <row r="794" spans="2:3" ht="21" x14ac:dyDescent="0.45">
      <c r="B794" s="127" t="str">
        <f t="shared" si="24"/>
        <v/>
      </c>
      <c r="C794" s="67" t="str">
        <f t="shared" si="25"/>
        <v/>
      </c>
    </row>
    <row r="795" spans="2:3" ht="21" x14ac:dyDescent="0.45">
      <c r="B795" s="127" t="str">
        <f t="shared" si="24"/>
        <v/>
      </c>
      <c r="C795" s="67" t="str">
        <f t="shared" si="25"/>
        <v/>
      </c>
    </row>
    <row r="796" spans="2:3" ht="21" x14ac:dyDescent="0.45">
      <c r="B796" s="127" t="str">
        <f t="shared" si="24"/>
        <v/>
      </c>
      <c r="C796" s="67" t="str">
        <f t="shared" si="25"/>
        <v/>
      </c>
    </row>
    <row r="797" spans="2:3" ht="21" x14ac:dyDescent="0.45">
      <c r="B797" s="127" t="str">
        <f t="shared" si="24"/>
        <v/>
      </c>
      <c r="C797" s="67" t="str">
        <f t="shared" si="25"/>
        <v/>
      </c>
    </row>
    <row r="798" spans="2:3" ht="21" x14ac:dyDescent="0.45">
      <c r="B798" s="127" t="str">
        <f t="shared" si="24"/>
        <v/>
      </c>
      <c r="C798" s="67" t="str">
        <f t="shared" si="25"/>
        <v/>
      </c>
    </row>
    <row r="799" spans="2:3" ht="21" x14ac:dyDescent="0.45">
      <c r="B799" s="127" t="str">
        <f t="shared" si="24"/>
        <v/>
      </c>
      <c r="C799" s="67" t="str">
        <f t="shared" si="25"/>
        <v/>
      </c>
    </row>
    <row r="800" spans="2:3" ht="21" x14ac:dyDescent="0.45">
      <c r="B800" s="127" t="str">
        <f t="shared" si="24"/>
        <v/>
      </c>
      <c r="C800" s="67" t="str">
        <f t="shared" si="25"/>
        <v/>
      </c>
    </row>
    <row r="801" spans="2:3" ht="21" x14ac:dyDescent="0.45">
      <c r="B801" s="127" t="str">
        <f t="shared" si="24"/>
        <v/>
      </c>
      <c r="C801" s="67" t="str">
        <f t="shared" si="25"/>
        <v/>
      </c>
    </row>
    <row r="802" spans="2:3" ht="21" x14ac:dyDescent="0.45">
      <c r="B802" s="127" t="str">
        <f t="shared" si="24"/>
        <v/>
      </c>
      <c r="C802" s="67" t="str">
        <f t="shared" si="25"/>
        <v/>
      </c>
    </row>
    <row r="803" spans="2:3" ht="21" x14ac:dyDescent="0.45">
      <c r="B803" s="127" t="str">
        <f t="shared" si="24"/>
        <v/>
      </c>
      <c r="C803" s="67" t="str">
        <f t="shared" si="25"/>
        <v/>
      </c>
    </row>
    <row r="804" spans="2:3" ht="21" x14ac:dyDescent="0.45">
      <c r="B804" s="127" t="str">
        <f t="shared" si="24"/>
        <v/>
      </c>
      <c r="C804" s="67" t="str">
        <f t="shared" si="25"/>
        <v/>
      </c>
    </row>
    <row r="805" spans="2:3" ht="21" x14ac:dyDescent="0.45">
      <c r="B805" s="127" t="str">
        <f t="shared" si="24"/>
        <v/>
      </c>
      <c r="C805" s="67" t="str">
        <f t="shared" si="25"/>
        <v/>
      </c>
    </row>
    <row r="806" spans="2:3" ht="21" x14ac:dyDescent="0.45">
      <c r="B806" s="127" t="str">
        <f t="shared" si="24"/>
        <v/>
      </c>
      <c r="C806" s="67" t="str">
        <f t="shared" si="25"/>
        <v/>
      </c>
    </row>
    <row r="807" spans="2:3" ht="21" x14ac:dyDescent="0.45">
      <c r="B807" s="127" t="str">
        <f t="shared" si="24"/>
        <v/>
      </c>
      <c r="C807" s="67" t="str">
        <f t="shared" si="25"/>
        <v/>
      </c>
    </row>
    <row r="808" spans="2:3" ht="21" x14ac:dyDescent="0.45">
      <c r="B808" s="127" t="str">
        <f t="shared" si="24"/>
        <v/>
      </c>
      <c r="C808" s="67" t="str">
        <f t="shared" si="25"/>
        <v/>
      </c>
    </row>
    <row r="809" spans="2:3" ht="21" x14ac:dyDescent="0.45">
      <c r="B809" s="127" t="str">
        <f t="shared" si="24"/>
        <v/>
      </c>
      <c r="C809" s="67" t="str">
        <f t="shared" si="25"/>
        <v/>
      </c>
    </row>
    <row r="810" spans="2:3" ht="21" x14ac:dyDescent="0.45">
      <c r="B810" s="127" t="str">
        <f t="shared" si="24"/>
        <v/>
      </c>
      <c r="C810" s="67" t="str">
        <f t="shared" si="25"/>
        <v/>
      </c>
    </row>
    <row r="811" spans="2:3" ht="21" x14ac:dyDescent="0.45">
      <c r="B811" s="127" t="str">
        <f t="shared" si="24"/>
        <v/>
      </c>
      <c r="C811" s="67" t="str">
        <f t="shared" si="25"/>
        <v/>
      </c>
    </row>
    <row r="812" spans="2:3" ht="21" x14ac:dyDescent="0.45">
      <c r="B812" s="127" t="str">
        <f t="shared" si="24"/>
        <v/>
      </c>
      <c r="C812" s="67" t="str">
        <f t="shared" si="25"/>
        <v/>
      </c>
    </row>
    <row r="813" spans="2:3" ht="21" x14ac:dyDescent="0.45">
      <c r="B813" s="127" t="str">
        <f t="shared" si="24"/>
        <v/>
      </c>
      <c r="C813" s="67" t="str">
        <f t="shared" si="25"/>
        <v/>
      </c>
    </row>
    <row r="814" spans="2:3" ht="21" x14ac:dyDescent="0.45">
      <c r="B814" s="127" t="str">
        <f t="shared" si="24"/>
        <v/>
      </c>
      <c r="C814" s="67" t="str">
        <f t="shared" si="25"/>
        <v/>
      </c>
    </row>
    <row r="815" spans="2:3" ht="21" x14ac:dyDescent="0.45">
      <c r="B815" s="127" t="str">
        <f t="shared" si="24"/>
        <v/>
      </c>
      <c r="C815" s="67" t="str">
        <f t="shared" si="25"/>
        <v/>
      </c>
    </row>
    <row r="816" spans="2:3" ht="21" x14ac:dyDescent="0.45">
      <c r="B816" s="127" t="str">
        <f t="shared" si="24"/>
        <v/>
      </c>
      <c r="C816" s="67" t="str">
        <f t="shared" si="25"/>
        <v/>
      </c>
    </row>
    <row r="817" spans="2:3" ht="21" x14ac:dyDescent="0.45">
      <c r="B817" s="127" t="str">
        <f t="shared" si="24"/>
        <v/>
      </c>
      <c r="C817" s="67" t="str">
        <f t="shared" si="25"/>
        <v/>
      </c>
    </row>
    <row r="818" spans="2:3" ht="21" x14ac:dyDescent="0.45">
      <c r="B818" s="127" t="str">
        <f t="shared" si="24"/>
        <v/>
      </c>
      <c r="C818" s="67" t="str">
        <f t="shared" si="25"/>
        <v/>
      </c>
    </row>
    <row r="819" spans="2:3" ht="21" x14ac:dyDescent="0.45">
      <c r="B819" s="127" t="str">
        <f t="shared" si="24"/>
        <v/>
      </c>
      <c r="C819" s="67" t="str">
        <f t="shared" si="25"/>
        <v/>
      </c>
    </row>
    <row r="820" spans="2:3" ht="21" x14ac:dyDescent="0.45">
      <c r="B820" s="127" t="str">
        <f t="shared" si="24"/>
        <v/>
      </c>
      <c r="C820" s="67" t="str">
        <f t="shared" si="25"/>
        <v/>
      </c>
    </row>
    <row r="821" spans="2:3" ht="21" x14ac:dyDescent="0.45">
      <c r="B821" s="127" t="str">
        <f t="shared" si="24"/>
        <v/>
      </c>
      <c r="C821" s="67" t="str">
        <f t="shared" si="25"/>
        <v/>
      </c>
    </row>
    <row r="822" spans="2:3" ht="21" x14ac:dyDescent="0.45">
      <c r="B822" s="127" t="str">
        <f t="shared" si="24"/>
        <v/>
      </c>
      <c r="C822" s="67" t="str">
        <f t="shared" si="25"/>
        <v/>
      </c>
    </row>
    <row r="823" spans="2:3" ht="21" x14ac:dyDescent="0.45">
      <c r="B823" s="127" t="str">
        <f t="shared" si="24"/>
        <v/>
      </c>
      <c r="C823" s="67" t="str">
        <f t="shared" si="25"/>
        <v/>
      </c>
    </row>
    <row r="824" spans="2:3" ht="21" x14ac:dyDescent="0.45">
      <c r="B824" s="127" t="str">
        <f t="shared" si="24"/>
        <v/>
      </c>
      <c r="C824" s="67" t="str">
        <f t="shared" si="25"/>
        <v/>
      </c>
    </row>
    <row r="825" spans="2:3" ht="21" x14ac:dyDescent="0.45">
      <c r="B825" s="127" t="str">
        <f t="shared" si="24"/>
        <v/>
      </c>
      <c r="C825" s="67" t="str">
        <f t="shared" si="25"/>
        <v/>
      </c>
    </row>
    <row r="826" spans="2:3" ht="21" x14ac:dyDescent="0.45">
      <c r="B826" s="127" t="str">
        <f t="shared" si="24"/>
        <v/>
      </c>
      <c r="C826" s="67" t="str">
        <f t="shared" si="25"/>
        <v/>
      </c>
    </row>
    <row r="827" spans="2:3" ht="21" x14ac:dyDescent="0.45">
      <c r="B827" s="127" t="str">
        <f t="shared" si="24"/>
        <v/>
      </c>
      <c r="C827" s="67" t="str">
        <f t="shared" si="25"/>
        <v/>
      </c>
    </row>
    <row r="828" spans="2:3" ht="21" x14ac:dyDescent="0.45">
      <c r="B828" s="127" t="str">
        <f t="shared" si="24"/>
        <v/>
      </c>
      <c r="C828" s="67" t="str">
        <f t="shared" si="25"/>
        <v/>
      </c>
    </row>
    <row r="829" spans="2:3" ht="21" x14ac:dyDescent="0.45">
      <c r="B829" s="127" t="str">
        <f t="shared" si="24"/>
        <v/>
      </c>
      <c r="C829" s="67" t="str">
        <f t="shared" si="25"/>
        <v/>
      </c>
    </row>
    <row r="830" spans="2:3" ht="21" x14ac:dyDescent="0.45">
      <c r="B830" s="127" t="str">
        <f t="shared" si="24"/>
        <v/>
      </c>
      <c r="C830" s="67" t="str">
        <f t="shared" si="25"/>
        <v/>
      </c>
    </row>
    <row r="831" spans="2:3" ht="21" x14ac:dyDescent="0.45">
      <c r="B831" s="127" t="str">
        <f t="shared" si="24"/>
        <v/>
      </c>
      <c r="C831" s="67" t="str">
        <f t="shared" si="25"/>
        <v/>
      </c>
    </row>
    <row r="832" spans="2:3" ht="21" x14ac:dyDescent="0.45">
      <c r="B832" s="127" t="str">
        <f t="shared" si="24"/>
        <v/>
      </c>
      <c r="C832" s="67" t="str">
        <f t="shared" si="25"/>
        <v/>
      </c>
    </row>
    <row r="833" spans="2:3" ht="21" x14ac:dyDescent="0.45">
      <c r="B833" s="127" t="str">
        <f t="shared" si="24"/>
        <v/>
      </c>
      <c r="C833" s="67" t="str">
        <f t="shared" si="25"/>
        <v/>
      </c>
    </row>
    <row r="834" spans="2:3" ht="21" x14ac:dyDescent="0.45">
      <c r="B834" s="127" t="str">
        <f t="shared" si="24"/>
        <v/>
      </c>
      <c r="C834" s="67" t="str">
        <f t="shared" si="25"/>
        <v/>
      </c>
    </row>
    <row r="835" spans="2:3" ht="21" x14ac:dyDescent="0.45">
      <c r="B835" s="127" t="str">
        <f t="shared" si="24"/>
        <v/>
      </c>
      <c r="C835" s="67" t="str">
        <f t="shared" si="25"/>
        <v/>
      </c>
    </row>
    <row r="836" spans="2:3" ht="21" x14ac:dyDescent="0.45">
      <c r="B836" s="127" t="str">
        <f t="shared" si="24"/>
        <v/>
      </c>
      <c r="C836" s="67" t="str">
        <f t="shared" si="25"/>
        <v/>
      </c>
    </row>
    <row r="837" spans="2:3" ht="21" x14ac:dyDescent="0.45">
      <c r="B837" s="127" t="str">
        <f t="shared" si="24"/>
        <v/>
      </c>
      <c r="C837" s="67" t="str">
        <f t="shared" si="25"/>
        <v/>
      </c>
    </row>
    <row r="838" spans="2:3" ht="21" x14ac:dyDescent="0.45">
      <c r="B838" s="127" t="str">
        <f t="shared" ref="B838:B901" si="26">IF(ISNUMBER(D838),"...","")</f>
        <v/>
      </c>
      <c r="C838" s="67" t="str">
        <f t="shared" ref="C838:C901" si="27">IF(ISNUMBER(D838),"x","")</f>
        <v/>
      </c>
    </row>
    <row r="839" spans="2:3" ht="21" x14ac:dyDescent="0.45">
      <c r="B839" s="127" t="str">
        <f t="shared" si="26"/>
        <v/>
      </c>
      <c r="C839" s="67" t="str">
        <f t="shared" si="27"/>
        <v/>
      </c>
    </row>
    <row r="840" spans="2:3" ht="21" x14ac:dyDescent="0.45">
      <c r="B840" s="127" t="str">
        <f t="shared" si="26"/>
        <v/>
      </c>
      <c r="C840" s="67" t="str">
        <f t="shared" si="27"/>
        <v/>
      </c>
    </row>
    <row r="841" spans="2:3" ht="21" x14ac:dyDescent="0.45">
      <c r="B841" s="127" t="str">
        <f t="shared" si="26"/>
        <v/>
      </c>
      <c r="C841" s="67" t="str">
        <f t="shared" si="27"/>
        <v/>
      </c>
    </row>
    <row r="842" spans="2:3" ht="21" x14ac:dyDescent="0.45">
      <c r="B842" s="127" t="str">
        <f t="shared" si="26"/>
        <v/>
      </c>
      <c r="C842" s="67" t="str">
        <f t="shared" si="27"/>
        <v/>
      </c>
    </row>
    <row r="843" spans="2:3" ht="21" x14ac:dyDescent="0.45">
      <c r="B843" s="127" t="str">
        <f t="shared" si="26"/>
        <v/>
      </c>
      <c r="C843" s="67" t="str">
        <f t="shared" si="27"/>
        <v/>
      </c>
    </row>
    <row r="844" spans="2:3" ht="21" x14ac:dyDescent="0.45">
      <c r="B844" s="127" t="str">
        <f t="shared" si="26"/>
        <v/>
      </c>
      <c r="C844" s="67" t="str">
        <f t="shared" si="27"/>
        <v/>
      </c>
    </row>
    <row r="845" spans="2:3" ht="21" x14ac:dyDescent="0.45">
      <c r="B845" s="127" t="str">
        <f t="shared" si="26"/>
        <v/>
      </c>
      <c r="C845" s="67" t="str">
        <f t="shared" si="27"/>
        <v/>
      </c>
    </row>
    <row r="846" spans="2:3" ht="21" x14ac:dyDescent="0.45">
      <c r="B846" s="127" t="str">
        <f t="shared" si="26"/>
        <v/>
      </c>
      <c r="C846" s="67" t="str">
        <f t="shared" si="27"/>
        <v/>
      </c>
    </row>
    <row r="847" spans="2:3" ht="21" x14ac:dyDescent="0.45">
      <c r="B847" s="127" t="str">
        <f t="shared" si="26"/>
        <v/>
      </c>
      <c r="C847" s="67" t="str">
        <f t="shared" si="27"/>
        <v/>
      </c>
    </row>
    <row r="848" spans="2:3" ht="21" x14ac:dyDescent="0.45">
      <c r="B848" s="127" t="str">
        <f t="shared" si="26"/>
        <v/>
      </c>
      <c r="C848" s="67" t="str">
        <f t="shared" si="27"/>
        <v/>
      </c>
    </row>
    <row r="849" spans="2:3" ht="21" x14ac:dyDescent="0.45">
      <c r="B849" s="127" t="str">
        <f t="shared" si="26"/>
        <v/>
      </c>
      <c r="C849" s="67" t="str">
        <f t="shared" si="27"/>
        <v/>
      </c>
    </row>
    <row r="850" spans="2:3" ht="21" x14ac:dyDescent="0.45">
      <c r="B850" s="127" t="str">
        <f t="shared" si="26"/>
        <v/>
      </c>
      <c r="C850" s="67" t="str">
        <f t="shared" si="27"/>
        <v/>
      </c>
    </row>
    <row r="851" spans="2:3" ht="21" x14ac:dyDescent="0.45">
      <c r="B851" s="127" t="str">
        <f t="shared" si="26"/>
        <v/>
      </c>
      <c r="C851" s="67" t="str">
        <f t="shared" si="27"/>
        <v/>
      </c>
    </row>
    <row r="852" spans="2:3" ht="21" x14ac:dyDescent="0.45">
      <c r="B852" s="127" t="str">
        <f t="shared" si="26"/>
        <v/>
      </c>
      <c r="C852" s="67" t="str">
        <f t="shared" si="27"/>
        <v/>
      </c>
    </row>
    <row r="853" spans="2:3" ht="21" x14ac:dyDescent="0.45">
      <c r="B853" s="127" t="str">
        <f t="shared" si="26"/>
        <v/>
      </c>
      <c r="C853" s="67" t="str">
        <f t="shared" si="27"/>
        <v/>
      </c>
    </row>
    <row r="854" spans="2:3" ht="21" x14ac:dyDescent="0.45">
      <c r="B854" s="127" t="str">
        <f t="shared" si="26"/>
        <v/>
      </c>
      <c r="C854" s="67" t="str">
        <f t="shared" si="27"/>
        <v/>
      </c>
    </row>
    <row r="855" spans="2:3" ht="21" x14ac:dyDescent="0.45">
      <c r="B855" s="127" t="str">
        <f t="shared" si="26"/>
        <v/>
      </c>
      <c r="C855" s="67" t="str">
        <f t="shared" si="27"/>
        <v/>
      </c>
    </row>
    <row r="856" spans="2:3" ht="21" x14ac:dyDescent="0.45">
      <c r="B856" s="127" t="str">
        <f t="shared" si="26"/>
        <v/>
      </c>
      <c r="C856" s="67" t="str">
        <f t="shared" si="27"/>
        <v/>
      </c>
    </row>
    <row r="857" spans="2:3" ht="21" x14ac:dyDescent="0.45">
      <c r="B857" s="127" t="str">
        <f t="shared" si="26"/>
        <v/>
      </c>
      <c r="C857" s="67" t="str">
        <f t="shared" si="27"/>
        <v/>
      </c>
    </row>
    <row r="858" spans="2:3" ht="21" x14ac:dyDescent="0.45">
      <c r="B858" s="127" t="str">
        <f t="shared" si="26"/>
        <v/>
      </c>
      <c r="C858" s="67" t="str">
        <f t="shared" si="27"/>
        <v/>
      </c>
    </row>
    <row r="859" spans="2:3" ht="21" x14ac:dyDescent="0.45">
      <c r="B859" s="127" t="str">
        <f t="shared" si="26"/>
        <v/>
      </c>
      <c r="C859" s="67" t="str">
        <f t="shared" si="27"/>
        <v/>
      </c>
    </row>
    <row r="860" spans="2:3" ht="21" x14ac:dyDescent="0.45">
      <c r="B860" s="127" t="str">
        <f t="shared" si="26"/>
        <v/>
      </c>
      <c r="C860" s="67" t="str">
        <f t="shared" si="27"/>
        <v/>
      </c>
    </row>
    <row r="861" spans="2:3" ht="21" x14ac:dyDescent="0.45">
      <c r="B861" s="127" t="str">
        <f t="shared" si="26"/>
        <v/>
      </c>
      <c r="C861" s="67" t="str">
        <f t="shared" si="27"/>
        <v/>
      </c>
    </row>
    <row r="862" spans="2:3" ht="21" x14ac:dyDescent="0.45">
      <c r="B862" s="127" t="str">
        <f t="shared" si="26"/>
        <v/>
      </c>
      <c r="C862" s="67" t="str">
        <f t="shared" si="27"/>
        <v/>
      </c>
    </row>
    <row r="863" spans="2:3" ht="21" x14ac:dyDescent="0.45">
      <c r="B863" s="127" t="str">
        <f t="shared" si="26"/>
        <v/>
      </c>
      <c r="C863" s="67" t="str">
        <f t="shared" si="27"/>
        <v/>
      </c>
    </row>
    <row r="864" spans="2:3" ht="21" x14ac:dyDescent="0.45">
      <c r="B864" s="127" t="str">
        <f t="shared" si="26"/>
        <v/>
      </c>
      <c r="C864" s="67" t="str">
        <f t="shared" si="27"/>
        <v/>
      </c>
    </row>
    <row r="865" spans="2:3" ht="21" x14ac:dyDescent="0.45">
      <c r="B865" s="127" t="str">
        <f t="shared" si="26"/>
        <v/>
      </c>
      <c r="C865" s="67" t="str">
        <f t="shared" si="27"/>
        <v/>
      </c>
    </row>
    <row r="866" spans="2:3" ht="21" x14ac:dyDescent="0.45">
      <c r="B866" s="127" t="str">
        <f t="shared" si="26"/>
        <v/>
      </c>
      <c r="C866" s="67" t="str">
        <f t="shared" si="27"/>
        <v/>
      </c>
    </row>
    <row r="867" spans="2:3" ht="21" x14ac:dyDescent="0.45">
      <c r="B867" s="127" t="str">
        <f t="shared" si="26"/>
        <v/>
      </c>
      <c r="C867" s="67" t="str">
        <f t="shared" si="27"/>
        <v/>
      </c>
    </row>
    <row r="868" spans="2:3" ht="21" x14ac:dyDescent="0.45">
      <c r="B868" s="127" t="str">
        <f t="shared" si="26"/>
        <v/>
      </c>
      <c r="C868" s="67" t="str">
        <f t="shared" si="27"/>
        <v/>
      </c>
    </row>
    <row r="869" spans="2:3" ht="21" x14ac:dyDescent="0.45">
      <c r="B869" s="127" t="str">
        <f t="shared" si="26"/>
        <v/>
      </c>
      <c r="C869" s="67" t="str">
        <f t="shared" si="27"/>
        <v/>
      </c>
    </row>
    <row r="870" spans="2:3" ht="21" x14ac:dyDescent="0.45">
      <c r="B870" s="127" t="str">
        <f t="shared" si="26"/>
        <v/>
      </c>
      <c r="C870" s="67" t="str">
        <f t="shared" si="27"/>
        <v/>
      </c>
    </row>
    <row r="871" spans="2:3" ht="21" x14ac:dyDescent="0.45">
      <c r="B871" s="127" t="str">
        <f t="shared" si="26"/>
        <v/>
      </c>
      <c r="C871" s="67" t="str">
        <f t="shared" si="27"/>
        <v/>
      </c>
    </row>
    <row r="872" spans="2:3" ht="21" x14ac:dyDescent="0.45">
      <c r="B872" s="127" t="str">
        <f t="shared" si="26"/>
        <v/>
      </c>
      <c r="C872" s="67" t="str">
        <f t="shared" si="27"/>
        <v/>
      </c>
    </row>
    <row r="873" spans="2:3" ht="21" x14ac:dyDescent="0.45">
      <c r="B873" s="127" t="str">
        <f t="shared" si="26"/>
        <v/>
      </c>
      <c r="C873" s="67" t="str">
        <f t="shared" si="27"/>
        <v/>
      </c>
    </row>
    <row r="874" spans="2:3" ht="21" x14ac:dyDescent="0.45">
      <c r="B874" s="127" t="str">
        <f t="shared" si="26"/>
        <v/>
      </c>
      <c r="C874" s="67" t="str">
        <f t="shared" si="27"/>
        <v/>
      </c>
    </row>
    <row r="875" spans="2:3" ht="21" x14ac:dyDescent="0.45">
      <c r="B875" s="127" t="str">
        <f t="shared" si="26"/>
        <v/>
      </c>
      <c r="C875" s="67" t="str">
        <f t="shared" si="27"/>
        <v/>
      </c>
    </row>
    <row r="876" spans="2:3" ht="21" x14ac:dyDescent="0.45">
      <c r="B876" s="127" t="str">
        <f t="shared" si="26"/>
        <v/>
      </c>
      <c r="C876" s="67" t="str">
        <f t="shared" si="27"/>
        <v/>
      </c>
    </row>
    <row r="877" spans="2:3" ht="21" x14ac:dyDescent="0.45">
      <c r="B877" s="127" t="str">
        <f t="shared" si="26"/>
        <v/>
      </c>
      <c r="C877" s="67" t="str">
        <f t="shared" si="27"/>
        <v/>
      </c>
    </row>
    <row r="878" spans="2:3" ht="21" x14ac:dyDescent="0.45">
      <c r="B878" s="127" t="str">
        <f t="shared" si="26"/>
        <v/>
      </c>
      <c r="C878" s="67" t="str">
        <f t="shared" si="27"/>
        <v/>
      </c>
    </row>
    <row r="879" spans="2:3" ht="21" x14ac:dyDescent="0.45">
      <c r="B879" s="127" t="str">
        <f t="shared" si="26"/>
        <v/>
      </c>
      <c r="C879" s="67" t="str">
        <f t="shared" si="27"/>
        <v/>
      </c>
    </row>
    <row r="880" spans="2:3" ht="21" x14ac:dyDescent="0.45">
      <c r="B880" s="127" t="str">
        <f t="shared" si="26"/>
        <v/>
      </c>
      <c r="C880" s="67" t="str">
        <f t="shared" si="27"/>
        <v/>
      </c>
    </row>
    <row r="881" spans="2:3" ht="21" x14ac:dyDescent="0.45">
      <c r="B881" s="127" t="str">
        <f t="shared" si="26"/>
        <v/>
      </c>
      <c r="C881" s="67" t="str">
        <f t="shared" si="27"/>
        <v/>
      </c>
    </row>
    <row r="882" spans="2:3" ht="21" x14ac:dyDescent="0.45">
      <c r="B882" s="127" t="str">
        <f t="shared" si="26"/>
        <v/>
      </c>
      <c r="C882" s="67" t="str">
        <f t="shared" si="27"/>
        <v/>
      </c>
    </row>
    <row r="883" spans="2:3" ht="21" x14ac:dyDescent="0.45">
      <c r="B883" s="127" t="str">
        <f t="shared" si="26"/>
        <v/>
      </c>
      <c r="C883" s="67" t="str">
        <f t="shared" si="27"/>
        <v/>
      </c>
    </row>
    <row r="884" spans="2:3" ht="21" x14ac:dyDescent="0.45">
      <c r="B884" s="127" t="str">
        <f t="shared" si="26"/>
        <v/>
      </c>
      <c r="C884" s="67" t="str">
        <f t="shared" si="27"/>
        <v/>
      </c>
    </row>
    <row r="885" spans="2:3" ht="21" x14ac:dyDescent="0.45">
      <c r="B885" s="127" t="str">
        <f t="shared" si="26"/>
        <v/>
      </c>
      <c r="C885" s="67" t="str">
        <f t="shared" si="27"/>
        <v/>
      </c>
    </row>
    <row r="886" spans="2:3" ht="21" x14ac:dyDescent="0.45">
      <c r="B886" s="127" t="str">
        <f t="shared" si="26"/>
        <v/>
      </c>
      <c r="C886" s="67" t="str">
        <f t="shared" si="27"/>
        <v/>
      </c>
    </row>
    <row r="887" spans="2:3" ht="21" x14ac:dyDescent="0.45">
      <c r="B887" s="127" t="str">
        <f t="shared" si="26"/>
        <v/>
      </c>
      <c r="C887" s="67" t="str">
        <f t="shared" si="27"/>
        <v/>
      </c>
    </row>
    <row r="888" spans="2:3" ht="21" x14ac:dyDescent="0.45">
      <c r="B888" s="127" t="str">
        <f t="shared" si="26"/>
        <v/>
      </c>
      <c r="C888" s="67" t="str">
        <f t="shared" si="27"/>
        <v/>
      </c>
    </row>
    <row r="889" spans="2:3" ht="21" x14ac:dyDescent="0.45">
      <c r="B889" s="127" t="str">
        <f t="shared" si="26"/>
        <v/>
      </c>
      <c r="C889" s="67" t="str">
        <f t="shared" si="27"/>
        <v/>
      </c>
    </row>
    <row r="890" spans="2:3" ht="21" x14ac:dyDescent="0.45">
      <c r="B890" s="127" t="str">
        <f t="shared" si="26"/>
        <v/>
      </c>
      <c r="C890" s="67" t="str">
        <f t="shared" si="27"/>
        <v/>
      </c>
    </row>
    <row r="891" spans="2:3" ht="21" x14ac:dyDescent="0.45">
      <c r="B891" s="127" t="str">
        <f t="shared" si="26"/>
        <v/>
      </c>
      <c r="C891" s="67" t="str">
        <f t="shared" si="27"/>
        <v/>
      </c>
    </row>
    <row r="892" spans="2:3" ht="21" x14ac:dyDescent="0.45">
      <c r="B892" s="127" t="str">
        <f t="shared" si="26"/>
        <v/>
      </c>
      <c r="C892" s="67" t="str">
        <f t="shared" si="27"/>
        <v/>
      </c>
    </row>
    <row r="893" spans="2:3" ht="21" x14ac:dyDescent="0.45">
      <c r="B893" s="127" t="str">
        <f t="shared" si="26"/>
        <v/>
      </c>
      <c r="C893" s="67" t="str">
        <f t="shared" si="27"/>
        <v/>
      </c>
    </row>
    <row r="894" spans="2:3" ht="21" x14ac:dyDescent="0.45">
      <c r="B894" s="127" t="str">
        <f t="shared" si="26"/>
        <v/>
      </c>
      <c r="C894" s="67" t="str">
        <f t="shared" si="27"/>
        <v/>
      </c>
    </row>
    <row r="895" spans="2:3" ht="21" x14ac:dyDescent="0.45">
      <c r="B895" s="127" t="str">
        <f t="shared" si="26"/>
        <v/>
      </c>
      <c r="C895" s="67" t="str">
        <f t="shared" si="27"/>
        <v/>
      </c>
    </row>
    <row r="896" spans="2:3" ht="21" x14ac:dyDescent="0.45">
      <c r="B896" s="127" t="str">
        <f t="shared" si="26"/>
        <v/>
      </c>
      <c r="C896" s="67" t="str">
        <f t="shared" si="27"/>
        <v/>
      </c>
    </row>
    <row r="897" spans="2:3" ht="21" x14ac:dyDescent="0.45">
      <c r="B897" s="127" t="str">
        <f t="shared" si="26"/>
        <v/>
      </c>
      <c r="C897" s="67" t="str">
        <f t="shared" si="27"/>
        <v/>
      </c>
    </row>
    <row r="898" spans="2:3" ht="21" x14ac:dyDescent="0.45">
      <c r="B898" s="127" t="str">
        <f t="shared" si="26"/>
        <v/>
      </c>
      <c r="C898" s="67" t="str">
        <f t="shared" si="27"/>
        <v/>
      </c>
    </row>
    <row r="899" spans="2:3" ht="21" x14ac:dyDescent="0.45">
      <c r="B899" s="127" t="str">
        <f t="shared" si="26"/>
        <v/>
      </c>
      <c r="C899" s="67" t="str">
        <f t="shared" si="27"/>
        <v/>
      </c>
    </row>
    <row r="900" spans="2:3" ht="21" x14ac:dyDescent="0.45">
      <c r="B900" s="127" t="str">
        <f t="shared" si="26"/>
        <v/>
      </c>
      <c r="C900" s="67" t="str">
        <f t="shared" si="27"/>
        <v/>
      </c>
    </row>
    <row r="901" spans="2:3" ht="21" x14ac:dyDescent="0.45">
      <c r="B901" s="127" t="str">
        <f t="shared" si="26"/>
        <v/>
      </c>
      <c r="C901" s="67" t="str">
        <f t="shared" si="27"/>
        <v/>
      </c>
    </row>
    <row r="902" spans="2:3" ht="21" x14ac:dyDescent="0.45">
      <c r="B902" s="127" t="str">
        <f t="shared" ref="B902:B965" si="28">IF(ISNUMBER(D902),"...","")</f>
        <v/>
      </c>
      <c r="C902" s="67" t="str">
        <f t="shared" ref="C902:C965" si="29">IF(ISNUMBER(D902),"x","")</f>
        <v/>
      </c>
    </row>
    <row r="903" spans="2:3" ht="21" x14ac:dyDescent="0.45">
      <c r="B903" s="127" t="str">
        <f t="shared" si="28"/>
        <v/>
      </c>
      <c r="C903" s="67" t="str">
        <f t="shared" si="29"/>
        <v/>
      </c>
    </row>
    <row r="904" spans="2:3" ht="21" x14ac:dyDescent="0.45">
      <c r="B904" s="127" t="str">
        <f t="shared" si="28"/>
        <v/>
      </c>
      <c r="C904" s="67" t="str">
        <f t="shared" si="29"/>
        <v/>
      </c>
    </row>
    <row r="905" spans="2:3" ht="21" x14ac:dyDescent="0.45">
      <c r="B905" s="127" t="str">
        <f t="shared" si="28"/>
        <v/>
      </c>
      <c r="C905" s="67" t="str">
        <f t="shared" si="29"/>
        <v/>
      </c>
    </row>
    <row r="906" spans="2:3" ht="21" x14ac:dyDescent="0.45">
      <c r="B906" s="127" t="str">
        <f t="shared" si="28"/>
        <v/>
      </c>
      <c r="C906" s="67" t="str">
        <f t="shared" si="29"/>
        <v/>
      </c>
    </row>
    <row r="907" spans="2:3" ht="21" x14ac:dyDescent="0.45">
      <c r="B907" s="127" t="str">
        <f t="shared" si="28"/>
        <v/>
      </c>
      <c r="C907" s="67" t="str">
        <f t="shared" si="29"/>
        <v/>
      </c>
    </row>
    <row r="908" spans="2:3" ht="21" x14ac:dyDescent="0.45">
      <c r="B908" s="127" t="str">
        <f t="shared" si="28"/>
        <v/>
      </c>
      <c r="C908" s="67" t="str">
        <f t="shared" si="29"/>
        <v/>
      </c>
    </row>
    <row r="909" spans="2:3" ht="21" x14ac:dyDescent="0.45">
      <c r="B909" s="127" t="str">
        <f t="shared" si="28"/>
        <v/>
      </c>
      <c r="C909" s="67" t="str">
        <f t="shared" si="29"/>
        <v/>
      </c>
    </row>
    <row r="910" spans="2:3" ht="21" x14ac:dyDescent="0.45">
      <c r="B910" s="127" t="str">
        <f t="shared" si="28"/>
        <v/>
      </c>
      <c r="C910" s="67" t="str">
        <f t="shared" si="29"/>
        <v/>
      </c>
    </row>
    <row r="911" spans="2:3" ht="21" x14ac:dyDescent="0.45">
      <c r="B911" s="127" t="str">
        <f t="shared" si="28"/>
        <v/>
      </c>
      <c r="C911" s="67" t="str">
        <f t="shared" si="29"/>
        <v/>
      </c>
    </row>
    <row r="912" spans="2:3" ht="21" x14ac:dyDescent="0.45">
      <c r="B912" s="127" t="str">
        <f t="shared" si="28"/>
        <v/>
      </c>
      <c r="C912" s="67" t="str">
        <f t="shared" si="29"/>
        <v/>
      </c>
    </row>
    <row r="913" spans="2:3" ht="21" x14ac:dyDescent="0.45">
      <c r="B913" s="127" t="str">
        <f t="shared" si="28"/>
        <v/>
      </c>
      <c r="C913" s="67" t="str">
        <f t="shared" si="29"/>
        <v/>
      </c>
    </row>
    <row r="914" spans="2:3" ht="21" x14ac:dyDescent="0.45">
      <c r="B914" s="127" t="str">
        <f t="shared" si="28"/>
        <v/>
      </c>
      <c r="C914" s="67" t="str">
        <f t="shared" si="29"/>
        <v/>
      </c>
    </row>
    <row r="915" spans="2:3" ht="21" x14ac:dyDescent="0.45">
      <c r="B915" s="127" t="str">
        <f t="shared" si="28"/>
        <v/>
      </c>
      <c r="C915" s="67" t="str">
        <f t="shared" si="29"/>
        <v/>
      </c>
    </row>
    <row r="916" spans="2:3" ht="21" x14ac:dyDescent="0.45">
      <c r="B916" s="127" t="str">
        <f t="shared" si="28"/>
        <v/>
      </c>
      <c r="C916" s="67" t="str">
        <f t="shared" si="29"/>
        <v/>
      </c>
    </row>
    <row r="917" spans="2:3" ht="21" x14ac:dyDescent="0.45">
      <c r="B917" s="127" t="str">
        <f t="shared" si="28"/>
        <v/>
      </c>
      <c r="C917" s="67" t="str">
        <f t="shared" si="29"/>
        <v/>
      </c>
    </row>
    <row r="918" spans="2:3" ht="21" x14ac:dyDescent="0.45">
      <c r="B918" s="127" t="str">
        <f t="shared" si="28"/>
        <v/>
      </c>
      <c r="C918" s="67" t="str">
        <f t="shared" si="29"/>
        <v/>
      </c>
    </row>
    <row r="919" spans="2:3" ht="21" x14ac:dyDescent="0.45">
      <c r="B919" s="127" t="str">
        <f t="shared" si="28"/>
        <v/>
      </c>
      <c r="C919" s="67" t="str">
        <f t="shared" si="29"/>
        <v/>
      </c>
    </row>
    <row r="920" spans="2:3" ht="21" x14ac:dyDescent="0.45">
      <c r="B920" s="127" t="str">
        <f t="shared" si="28"/>
        <v/>
      </c>
      <c r="C920" s="67" t="str">
        <f t="shared" si="29"/>
        <v/>
      </c>
    </row>
    <row r="921" spans="2:3" ht="21" x14ac:dyDescent="0.45">
      <c r="B921" s="127" t="str">
        <f t="shared" si="28"/>
        <v/>
      </c>
      <c r="C921" s="67" t="str">
        <f t="shared" si="29"/>
        <v/>
      </c>
    </row>
    <row r="922" spans="2:3" ht="21" x14ac:dyDescent="0.45">
      <c r="B922" s="127" t="str">
        <f t="shared" si="28"/>
        <v/>
      </c>
      <c r="C922" s="67" t="str">
        <f t="shared" si="29"/>
        <v/>
      </c>
    </row>
    <row r="923" spans="2:3" ht="21" x14ac:dyDescent="0.45">
      <c r="B923" s="127" t="str">
        <f t="shared" si="28"/>
        <v/>
      </c>
      <c r="C923" s="67" t="str">
        <f t="shared" si="29"/>
        <v/>
      </c>
    </row>
    <row r="924" spans="2:3" ht="21" x14ac:dyDescent="0.45">
      <c r="B924" s="127" t="str">
        <f t="shared" si="28"/>
        <v/>
      </c>
      <c r="C924" s="67" t="str">
        <f t="shared" si="29"/>
        <v/>
      </c>
    </row>
    <row r="925" spans="2:3" ht="21" x14ac:dyDescent="0.45">
      <c r="B925" s="127" t="str">
        <f t="shared" si="28"/>
        <v/>
      </c>
      <c r="C925" s="67" t="str">
        <f t="shared" si="29"/>
        <v/>
      </c>
    </row>
    <row r="926" spans="2:3" ht="21" x14ac:dyDescent="0.45">
      <c r="B926" s="127" t="str">
        <f t="shared" si="28"/>
        <v/>
      </c>
      <c r="C926" s="67" t="str">
        <f t="shared" si="29"/>
        <v/>
      </c>
    </row>
    <row r="927" spans="2:3" ht="21" x14ac:dyDescent="0.45">
      <c r="B927" s="127" t="str">
        <f t="shared" si="28"/>
        <v/>
      </c>
      <c r="C927" s="67" t="str">
        <f t="shared" si="29"/>
        <v/>
      </c>
    </row>
    <row r="928" spans="2:3" ht="21" x14ac:dyDescent="0.45">
      <c r="B928" s="127" t="str">
        <f t="shared" si="28"/>
        <v/>
      </c>
      <c r="C928" s="67" t="str">
        <f t="shared" si="29"/>
        <v/>
      </c>
    </row>
    <row r="929" spans="2:3" ht="21" x14ac:dyDescent="0.45">
      <c r="B929" s="127" t="str">
        <f t="shared" si="28"/>
        <v/>
      </c>
      <c r="C929" s="67" t="str">
        <f t="shared" si="29"/>
        <v/>
      </c>
    </row>
    <row r="930" spans="2:3" ht="21" x14ac:dyDescent="0.45">
      <c r="B930" s="127" t="str">
        <f t="shared" si="28"/>
        <v/>
      </c>
      <c r="C930" s="67" t="str">
        <f t="shared" si="29"/>
        <v/>
      </c>
    </row>
    <row r="931" spans="2:3" ht="21" x14ac:dyDescent="0.45">
      <c r="B931" s="127" t="str">
        <f t="shared" si="28"/>
        <v/>
      </c>
      <c r="C931" s="67" t="str">
        <f t="shared" si="29"/>
        <v/>
      </c>
    </row>
    <row r="932" spans="2:3" ht="21" x14ac:dyDescent="0.45">
      <c r="B932" s="127" t="str">
        <f t="shared" si="28"/>
        <v/>
      </c>
      <c r="C932" s="67" t="str">
        <f t="shared" si="29"/>
        <v/>
      </c>
    </row>
    <row r="933" spans="2:3" ht="21" x14ac:dyDescent="0.45">
      <c r="B933" s="127" t="str">
        <f t="shared" si="28"/>
        <v/>
      </c>
      <c r="C933" s="67" t="str">
        <f t="shared" si="29"/>
        <v/>
      </c>
    </row>
    <row r="934" spans="2:3" ht="21" x14ac:dyDescent="0.45">
      <c r="B934" s="127" t="str">
        <f t="shared" si="28"/>
        <v/>
      </c>
      <c r="C934" s="67" t="str">
        <f t="shared" si="29"/>
        <v/>
      </c>
    </row>
    <row r="935" spans="2:3" ht="21" x14ac:dyDescent="0.45">
      <c r="B935" s="127" t="str">
        <f t="shared" si="28"/>
        <v/>
      </c>
      <c r="C935" s="67" t="str">
        <f t="shared" si="29"/>
        <v/>
      </c>
    </row>
    <row r="936" spans="2:3" ht="21" x14ac:dyDescent="0.45">
      <c r="B936" s="127" t="str">
        <f t="shared" si="28"/>
        <v/>
      </c>
      <c r="C936" s="67" t="str">
        <f t="shared" si="29"/>
        <v/>
      </c>
    </row>
    <row r="937" spans="2:3" ht="21" x14ac:dyDescent="0.45">
      <c r="B937" s="127" t="str">
        <f t="shared" si="28"/>
        <v/>
      </c>
      <c r="C937" s="67" t="str">
        <f t="shared" si="29"/>
        <v/>
      </c>
    </row>
    <row r="938" spans="2:3" ht="21" x14ac:dyDescent="0.45">
      <c r="B938" s="127" t="str">
        <f t="shared" si="28"/>
        <v/>
      </c>
      <c r="C938" s="67" t="str">
        <f t="shared" si="29"/>
        <v/>
      </c>
    </row>
    <row r="939" spans="2:3" ht="21" x14ac:dyDescent="0.45">
      <c r="B939" s="127" t="str">
        <f t="shared" si="28"/>
        <v/>
      </c>
      <c r="C939" s="67" t="str">
        <f t="shared" si="29"/>
        <v/>
      </c>
    </row>
    <row r="940" spans="2:3" ht="21" x14ac:dyDescent="0.45">
      <c r="B940" s="127" t="str">
        <f t="shared" si="28"/>
        <v/>
      </c>
      <c r="C940" s="67" t="str">
        <f t="shared" si="29"/>
        <v/>
      </c>
    </row>
    <row r="941" spans="2:3" ht="21" x14ac:dyDescent="0.45">
      <c r="B941" s="127" t="str">
        <f t="shared" si="28"/>
        <v/>
      </c>
      <c r="C941" s="67" t="str">
        <f t="shared" si="29"/>
        <v/>
      </c>
    </row>
    <row r="942" spans="2:3" ht="21" x14ac:dyDescent="0.45">
      <c r="B942" s="127" t="str">
        <f t="shared" si="28"/>
        <v/>
      </c>
      <c r="C942" s="67" t="str">
        <f t="shared" si="29"/>
        <v/>
      </c>
    </row>
    <row r="943" spans="2:3" ht="21" x14ac:dyDescent="0.45">
      <c r="B943" s="127" t="str">
        <f t="shared" si="28"/>
        <v/>
      </c>
      <c r="C943" s="67" t="str">
        <f t="shared" si="29"/>
        <v/>
      </c>
    </row>
    <row r="944" spans="2:3" ht="21" x14ac:dyDescent="0.45">
      <c r="B944" s="127" t="str">
        <f t="shared" si="28"/>
        <v/>
      </c>
      <c r="C944" s="67" t="str">
        <f t="shared" si="29"/>
        <v/>
      </c>
    </row>
    <row r="945" spans="2:3" ht="21" x14ac:dyDescent="0.45">
      <c r="B945" s="127" t="str">
        <f t="shared" si="28"/>
        <v/>
      </c>
      <c r="C945" s="67" t="str">
        <f t="shared" si="29"/>
        <v/>
      </c>
    </row>
    <row r="946" spans="2:3" ht="21" x14ac:dyDescent="0.45">
      <c r="B946" s="127" t="str">
        <f t="shared" si="28"/>
        <v/>
      </c>
      <c r="C946" s="67" t="str">
        <f t="shared" si="29"/>
        <v/>
      </c>
    </row>
    <row r="947" spans="2:3" ht="21" x14ac:dyDescent="0.45">
      <c r="B947" s="127" t="str">
        <f t="shared" si="28"/>
        <v/>
      </c>
      <c r="C947" s="67" t="str">
        <f t="shared" si="29"/>
        <v/>
      </c>
    </row>
    <row r="948" spans="2:3" ht="21" x14ac:dyDescent="0.45">
      <c r="B948" s="127" t="str">
        <f t="shared" si="28"/>
        <v/>
      </c>
      <c r="C948" s="67" t="str">
        <f t="shared" si="29"/>
        <v/>
      </c>
    </row>
    <row r="949" spans="2:3" ht="21" x14ac:dyDescent="0.45">
      <c r="B949" s="127" t="str">
        <f t="shared" si="28"/>
        <v/>
      </c>
      <c r="C949" s="67" t="str">
        <f t="shared" si="29"/>
        <v/>
      </c>
    </row>
    <row r="950" spans="2:3" ht="21" x14ac:dyDescent="0.45">
      <c r="B950" s="127" t="str">
        <f t="shared" si="28"/>
        <v/>
      </c>
      <c r="C950" s="67" t="str">
        <f t="shared" si="29"/>
        <v/>
      </c>
    </row>
    <row r="951" spans="2:3" ht="21" x14ac:dyDescent="0.45">
      <c r="B951" s="127" t="str">
        <f t="shared" si="28"/>
        <v/>
      </c>
      <c r="C951" s="67" t="str">
        <f t="shared" si="29"/>
        <v/>
      </c>
    </row>
    <row r="952" spans="2:3" ht="21" x14ac:dyDescent="0.45">
      <c r="B952" s="127" t="str">
        <f t="shared" si="28"/>
        <v/>
      </c>
      <c r="C952" s="67" t="str">
        <f t="shared" si="29"/>
        <v/>
      </c>
    </row>
    <row r="953" spans="2:3" ht="21" x14ac:dyDescent="0.45">
      <c r="B953" s="127" t="str">
        <f t="shared" si="28"/>
        <v/>
      </c>
      <c r="C953" s="67" t="str">
        <f t="shared" si="29"/>
        <v/>
      </c>
    </row>
    <row r="954" spans="2:3" ht="21" x14ac:dyDescent="0.45">
      <c r="B954" s="127" t="str">
        <f t="shared" si="28"/>
        <v/>
      </c>
      <c r="C954" s="67" t="str">
        <f t="shared" si="29"/>
        <v/>
      </c>
    </row>
    <row r="955" spans="2:3" ht="21" x14ac:dyDescent="0.45">
      <c r="B955" s="127" t="str">
        <f t="shared" si="28"/>
        <v/>
      </c>
      <c r="C955" s="67" t="str">
        <f t="shared" si="29"/>
        <v/>
      </c>
    </row>
    <row r="956" spans="2:3" ht="21" x14ac:dyDescent="0.45">
      <c r="B956" s="127" t="str">
        <f t="shared" si="28"/>
        <v/>
      </c>
      <c r="C956" s="67" t="str">
        <f t="shared" si="29"/>
        <v/>
      </c>
    </row>
    <row r="957" spans="2:3" ht="21" x14ac:dyDescent="0.45">
      <c r="B957" s="127" t="str">
        <f t="shared" si="28"/>
        <v/>
      </c>
      <c r="C957" s="67" t="str">
        <f t="shared" si="29"/>
        <v/>
      </c>
    </row>
    <row r="958" spans="2:3" ht="21" x14ac:dyDescent="0.45">
      <c r="B958" s="127" t="str">
        <f t="shared" si="28"/>
        <v/>
      </c>
      <c r="C958" s="67" t="str">
        <f t="shared" si="29"/>
        <v/>
      </c>
    </row>
    <row r="959" spans="2:3" ht="21" x14ac:dyDescent="0.45">
      <c r="B959" s="127" t="str">
        <f t="shared" si="28"/>
        <v/>
      </c>
      <c r="C959" s="67" t="str">
        <f t="shared" si="29"/>
        <v/>
      </c>
    </row>
    <row r="960" spans="2:3" ht="21" x14ac:dyDescent="0.45">
      <c r="B960" s="127" t="str">
        <f t="shared" si="28"/>
        <v/>
      </c>
      <c r="C960" s="67" t="str">
        <f t="shared" si="29"/>
        <v/>
      </c>
    </row>
    <row r="961" spans="2:3" ht="21" x14ac:dyDescent="0.45">
      <c r="B961" s="127" t="str">
        <f t="shared" si="28"/>
        <v/>
      </c>
      <c r="C961" s="67" t="str">
        <f t="shared" si="29"/>
        <v/>
      </c>
    </row>
    <row r="962" spans="2:3" ht="21" x14ac:dyDescent="0.45">
      <c r="B962" s="127" t="str">
        <f t="shared" si="28"/>
        <v/>
      </c>
      <c r="C962" s="67" t="str">
        <f t="shared" si="29"/>
        <v/>
      </c>
    </row>
    <row r="963" spans="2:3" ht="21" x14ac:dyDescent="0.45">
      <c r="B963" s="127" t="str">
        <f t="shared" si="28"/>
        <v/>
      </c>
      <c r="C963" s="67" t="str">
        <f t="shared" si="29"/>
        <v/>
      </c>
    </row>
    <row r="964" spans="2:3" ht="21" x14ac:dyDescent="0.45">
      <c r="B964" s="127" t="str">
        <f t="shared" si="28"/>
        <v/>
      </c>
      <c r="C964" s="67" t="str">
        <f t="shared" si="29"/>
        <v/>
      </c>
    </row>
    <row r="965" spans="2:3" ht="21" x14ac:dyDescent="0.45">
      <c r="B965" s="127" t="str">
        <f t="shared" si="28"/>
        <v/>
      </c>
      <c r="C965" s="67" t="str">
        <f t="shared" si="29"/>
        <v/>
      </c>
    </row>
    <row r="966" spans="2:3" ht="21" x14ac:dyDescent="0.45">
      <c r="B966" s="127" t="str">
        <f t="shared" ref="B966:B998" si="30">IF(ISNUMBER(D966),"...","")</f>
        <v/>
      </c>
      <c r="C966" s="67" t="str">
        <f t="shared" ref="C966:C998" si="31">IF(ISNUMBER(D966),"x","")</f>
        <v/>
      </c>
    </row>
    <row r="967" spans="2:3" ht="21" x14ac:dyDescent="0.45">
      <c r="B967" s="127" t="str">
        <f t="shared" si="30"/>
        <v/>
      </c>
      <c r="C967" s="67" t="str">
        <f t="shared" si="31"/>
        <v/>
      </c>
    </row>
    <row r="968" spans="2:3" ht="21" x14ac:dyDescent="0.45">
      <c r="B968" s="127" t="str">
        <f t="shared" si="30"/>
        <v/>
      </c>
      <c r="C968" s="67" t="str">
        <f t="shared" si="31"/>
        <v/>
      </c>
    </row>
    <row r="969" spans="2:3" ht="21" x14ac:dyDescent="0.45">
      <c r="B969" s="127" t="str">
        <f t="shared" si="30"/>
        <v/>
      </c>
      <c r="C969" s="67" t="str">
        <f t="shared" si="31"/>
        <v/>
      </c>
    </row>
    <row r="970" spans="2:3" ht="21" x14ac:dyDescent="0.45">
      <c r="B970" s="127" t="str">
        <f t="shared" si="30"/>
        <v/>
      </c>
      <c r="C970" s="67" t="str">
        <f t="shared" si="31"/>
        <v/>
      </c>
    </row>
    <row r="971" spans="2:3" ht="21" x14ac:dyDescent="0.45">
      <c r="B971" s="127" t="str">
        <f t="shared" si="30"/>
        <v/>
      </c>
      <c r="C971" s="67" t="str">
        <f t="shared" si="31"/>
        <v/>
      </c>
    </row>
    <row r="972" spans="2:3" ht="21" x14ac:dyDescent="0.45">
      <c r="B972" s="127" t="str">
        <f t="shared" si="30"/>
        <v/>
      </c>
      <c r="C972" s="67" t="str">
        <f t="shared" si="31"/>
        <v/>
      </c>
    </row>
    <row r="973" spans="2:3" ht="21" x14ac:dyDescent="0.45">
      <c r="B973" s="127" t="str">
        <f t="shared" si="30"/>
        <v/>
      </c>
      <c r="C973" s="67" t="str">
        <f t="shared" si="31"/>
        <v/>
      </c>
    </row>
    <row r="974" spans="2:3" ht="21" x14ac:dyDescent="0.45">
      <c r="B974" s="127" t="str">
        <f t="shared" si="30"/>
        <v/>
      </c>
      <c r="C974" s="67" t="str">
        <f t="shared" si="31"/>
        <v/>
      </c>
    </row>
    <row r="975" spans="2:3" ht="21" x14ac:dyDescent="0.45">
      <c r="B975" s="127" t="str">
        <f t="shared" si="30"/>
        <v/>
      </c>
      <c r="C975" s="67" t="str">
        <f t="shared" si="31"/>
        <v/>
      </c>
    </row>
    <row r="976" spans="2:3" ht="21" x14ac:dyDescent="0.45">
      <c r="B976" s="127" t="str">
        <f t="shared" si="30"/>
        <v/>
      </c>
      <c r="C976" s="67" t="str">
        <f t="shared" si="31"/>
        <v/>
      </c>
    </row>
    <row r="977" spans="2:3" ht="21" x14ac:dyDescent="0.45">
      <c r="B977" s="127" t="str">
        <f t="shared" si="30"/>
        <v/>
      </c>
      <c r="C977" s="67" t="str">
        <f t="shared" si="31"/>
        <v/>
      </c>
    </row>
    <row r="978" spans="2:3" ht="21" x14ac:dyDescent="0.45">
      <c r="B978" s="127" t="str">
        <f t="shared" si="30"/>
        <v/>
      </c>
      <c r="C978" s="67" t="str">
        <f t="shared" si="31"/>
        <v/>
      </c>
    </row>
    <row r="979" spans="2:3" ht="21" x14ac:dyDescent="0.45">
      <c r="B979" s="127" t="str">
        <f t="shared" si="30"/>
        <v/>
      </c>
      <c r="C979" s="67" t="str">
        <f t="shared" si="31"/>
        <v/>
      </c>
    </row>
    <row r="980" spans="2:3" ht="21" x14ac:dyDescent="0.45">
      <c r="B980" s="127" t="str">
        <f t="shared" si="30"/>
        <v/>
      </c>
      <c r="C980" s="67" t="str">
        <f t="shared" si="31"/>
        <v/>
      </c>
    </row>
    <row r="981" spans="2:3" ht="21" x14ac:dyDescent="0.45">
      <c r="B981" s="127" t="str">
        <f t="shared" si="30"/>
        <v/>
      </c>
      <c r="C981" s="67" t="str">
        <f t="shared" si="31"/>
        <v/>
      </c>
    </row>
    <row r="982" spans="2:3" ht="21" x14ac:dyDescent="0.45">
      <c r="B982" s="127" t="str">
        <f t="shared" si="30"/>
        <v/>
      </c>
      <c r="C982" s="67" t="str">
        <f t="shared" si="31"/>
        <v/>
      </c>
    </row>
    <row r="983" spans="2:3" ht="21" x14ac:dyDescent="0.45">
      <c r="B983" s="127" t="str">
        <f t="shared" si="30"/>
        <v/>
      </c>
      <c r="C983" s="67" t="str">
        <f t="shared" si="31"/>
        <v/>
      </c>
    </row>
    <row r="984" spans="2:3" ht="21" x14ac:dyDescent="0.45">
      <c r="B984" s="127" t="str">
        <f t="shared" si="30"/>
        <v/>
      </c>
      <c r="C984" s="67" t="str">
        <f t="shared" si="31"/>
        <v/>
      </c>
    </row>
    <row r="985" spans="2:3" ht="21" x14ac:dyDescent="0.45">
      <c r="B985" s="127" t="str">
        <f t="shared" si="30"/>
        <v/>
      </c>
      <c r="C985" s="67" t="str">
        <f t="shared" si="31"/>
        <v/>
      </c>
    </row>
    <row r="986" spans="2:3" ht="21" x14ac:dyDescent="0.45">
      <c r="B986" s="127" t="str">
        <f t="shared" si="30"/>
        <v/>
      </c>
      <c r="C986" s="67" t="str">
        <f t="shared" si="31"/>
        <v/>
      </c>
    </row>
    <row r="987" spans="2:3" ht="21" x14ac:dyDescent="0.45">
      <c r="B987" s="127" t="str">
        <f t="shared" si="30"/>
        <v/>
      </c>
      <c r="C987" s="67" t="str">
        <f t="shared" si="31"/>
        <v/>
      </c>
    </row>
    <row r="988" spans="2:3" ht="21" x14ac:dyDescent="0.45">
      <c r="B988" s="127" t="str">
        <f t="shared" si="30"/>
        <v/>
      </c>
      <c r="C988" s="67" t="str">
        <f t="shared" si="31"/>
        <v/>
      </c>
    </row>
    <row r="989" spans="2:3" ht="21" x14ac:dyDescent="0.45">
      <c r="B989" s="127" t="str">
        <f t="shared" si="30"/>
        <v/>
      </c>
      <c r="C989" s="67" t="str">
        <f t="shared" si="31"/>
        <v/>
      </c>
    </row>
    <row r="990" spans="2:3" ht="21" x14ac:dyDescent="0.45">
      <c r="B990" s="127" t="str">
        <f t="shared" si="30"/>
        <v/>
      </c>
      <c r="C990" s="67" t="str">
        <f t="shared" si="31"/>
        <v/>
      </c>
    </row>
    <row r="991" spans="2:3" ht="21" x14ac:dyDescent="0.45">
      <c r="B991" s="127" t="str">
        <f t="shared" si="30"/>
        <v/>
      </c>
      <c r="C991" s="67" t="str">
        <f t="shared" si="31"/>
        <v/>
      </c>
    </row>
    <row r="992" spans="2:3" ht="21" x14ac:dyDescent="0.45">
      <c r="B992" s="127" t="str">
        <f t="shared" si="30"/>
        <v/>
      </c>
      <c r="C992" s="67" t="str">
        <f t="shared" si="31"/>
        <v/>
      </c>
    </row>
    <row r="993" spans="2:3" ht="21" x14ac:dyDescent="0.45">
      <c r="B993" s="127" t="str">
        <f t="shared" si="30"/>
        <v/>
      </c>
      <c r="C993" s="67" t="str">
        <f t="shared" si="31"/>
        <v/>
      </c>
    </row>
    <row r="994" spans="2:3" ht="21" x14ac:dyDescent="0.45">
      <c r="B994" s="127" t="str">
        <f t="shared" si="30"/>
        <v/>
      </c>
      <c r="C994" s="67" t="str">
        <f t="shared" si="31"/>
        <v/>
      </c>
    </row>
    <row r="995" spans="2:3" ht="21" x14ac:dyDescent="0.45">
      <c r="B995" s="127" t="str">
        <f t="shared" si="30"/>
        <v/>
      </c>
      <c r="C995" s="67" t="str">
        <f t="shared" si="31"/>
        <v/>
      </c>
    </row>
    <row r="996" spans="2:3" ht="21" x14ac:dyDescent="0.45">
      <c r="B996" s="127" t="str">
        <f t="shared" si="30"/>
        <v/>
      </c>
      <c r="C996" s="67" t="str">
        <f t="shared" si="31"/>
        <v/>
      </c>
    </row>
    <row r="997" spans="2:3" ht="21" x14ac:dyDescent="0.45">
      <c r="B997" s="127" t="str">
        <f t="shared" si="30"/>
        <v/>
      </c>
      <c r="C997" s="67" t="str">
        <f t="shared" si="31"/>
        <v/>
      </c>
    </row>
    <row r="998" spans="2:3" ht="21" x14ac:dyDescent="0.45">
      <c r="B998" s="127" t="str">
        <f t="shared" si="30"/>
        <v/>
      </c>
      <c r="C998" s="67" t="str">
        <f t="shared" si="31"/>
        <v/>
      </c>
    </row>
  </sheetData>
  <conditionalFormatting sqref="B7:Q998">
    <cfRule type="expression" dxfId="34" priority="7">
      <formula>ISNUMBER($D7)</formula>
    </cfRule>
  </conditionalFormatting>
  <conditionalFormatting sqref="B1 B8:B1048568">
    <cfRule type="cellIs" dxfId="33" priority="1" operator="equal">
      <formula>B$7</formula>
    </cfRule>
    <cfRule type="cellIs" dxfId="32" priority="5" operator="equal">
      <formula>$B7</formula>
    </cfRule>
  </conditionalFormatting>
  <conditionalFormatting sqref="C1 C8:C1048568">
    <cfRule type="cellIs" dxfId="31" priority="2" operator="equal">
      <formula>C$7</formula>
    </cfRule>
    <cfRule type="cellIs" dxfId="30" priority="3" operator="equal">
      <formula>$C7</formula>
    </cfRule>
  </conditionalFormatting>
  <conditionalFormatting sqref="B1048569:B1048576">
    <cfRule type="cellIs" dxfId="29" priority="12" operator="equal">
      <formula>B$7</formula>
    </cfRule>
    <cfRule type="cellIs" dxfId="28" priority="13" operator="equal">
      <formula>$B1</formula>
    </cfRule>
  </conditionalFormatting>
  <conditionalFormatting sqref="B4:B7">
    <cfRule type="cellIs" dxfId="27" priority="16" operator="equal">
      <formula>B$7</formula>
    </cfRule>
    <cfRule type="cellIs" dxfId="26" priority="17" operator="equal">
      <formula>$B8</formula>
    </cfRule>
  </conditionalFormatting>
  <conditionalFormatting sqref="B2:B3">
    <cfRule type="cellIs" dxfId="25" priority="18" operator="equal">
      <formula>B$7</formula>
    </cfRule>
    <cfRule type="cellIs" dxfId="24" priority="19" operator="equal">
      <formula>#REF!</formula>
    </cfRule>
  </conditionalFormatting>
  <conditionalFormatting sqref="C1048569:C1048576">
    <cfRule type="cellIs" dxfId="23" priority="24" operator="equal">
      <formula>C$7</formula>
    </cfRule>
    <cfRule type="cellIs" dxfId="22" priority="25" operator="equal">
      <formula>$C1</formula>
    </cfRule>
  </conditionalFormatting>
  <conditionalFormatting sqref="C4:C7">
    <cfRule type="cellIs" dxfId="21" priority="28" operator="equal">
      <formula>C$7</formula>
    </cfRule>
    <cfRule type="cellIs" dxfId="20" priority="29" operator="equal">
      <formula>$C8</formula>
    </cfRule>
  </conditionalFormatting>
  <conditionalFormatting sqref="C2:C3">
    <cfRule type="cellIs" dxfId="19" priority="30" operator="equal">
      <formula>C$7</formula>
    </cfRule>
    <cfRule type="cellIs" dxfId="18" priority="31" operator="equal">
      <formula>#REF!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66FFCC"/>
  </sheetPr>
  <dimension ref="A1:R1205"/>
  <sheetViews>
    <sheetView rightToLeft="1" topLeftCell="F1" zoomScale="90" zoomScaleNormal="90" workbookViewId="0">
      <pane ySplit="1" topLeftCell="A53" activePane="bottomLeft" state="frozen"/>
      <selection activeCell="H2661" sqref="H2661"/>
      <selection pane="bottomLeft" activeCell="G40" sqref="G40"/>
    </sheetView>
  </sheetViews>
  <sheetFormatPr defaultColWidth="9.125" defaultRowHeight="24.75" customHeight="1" x14ac:dyDescent="0.2"/>
  <cols>
    <col min="1" max="1" width="29.375" style="74" customWidth="1"/>
    <col min="2" max="2" width="14" style="74" customWidth="1"/>
    <col min="3" max="3" width="1.375" style="74" customWidth="1"/>
    <col min="4" max="4" width="41.375" style="74" customWidth="1"/>
    <col min="5" max="5" width="9.125" style="74"/>
    <col min="6" max="6" width="1.5" style="74" customWidth="1"/>
    <col min="7" max="7" width="39.375" style="106" customWidth="1"/>
    <col min="8" max="8" width="11.375" style="74" customWidth="1"/>
    <col min="9" max="9" width="1.375" style="74" customWidth="1"/>
    <col min="10" max="11" width="9.125" style="74"/>
    <col min="12" max="12" width="28.625" style="74" customWidth="1"/>
    <col min="13" max="13" width="6.875" style="74" customWidth="1"/>
    <col min="14" max="14" width="2.875" style="74" customWidth="1"/>
    <col min="15" max="15" width="12.375" style="74" customWidth="1"/>
    <col min="16" max="16" width="13.375" style="74" customWidth="1"/>
    <col min="17" max="17" width="12" style="74" customWidth="1"/>
    <col min="18" max="16384" width="9.125" style="74"/>
  </cols>
  <sheetData>
    <row r="1" spans="1:18" s="67" customFormat="1" ht="24.75" customHeight="1" thickBot="1" x14ac:dyDescent="0.25">
      <c r="A1" s="59" t="s">
        <v>0</v>
      </c>
      <c r="B1" s="59" t="s">
        <v>201</v>
      </c>
      <c r="C1" s="60"/>
      <c r="D1" s="61" t="s">
        <v>109</v>
      </c>
      <c r="E1" s="62" t="s">
        <v>54</v>
      </c>
      <c r="F1" s="60"/>
      <c r="G1" s="63" t="s">
        <v>109</v>
      </c>
      <c r="H1" s="64" t="s">
        <v>54</v>
      </c>
      <c r="I1" s="65"/>
      <c r="J1" s="66" t="s">
        <v>110</v>
      </c>
      <c r="K1" s="66"/>
      <c r="L1" s="66" t="s">
        <v>111</v>
      </c>
      <c r="M1" s="66" t="s">
        <v>112</v>
      </c>
    </row>
    <row r="2" spans="1:18" ht="24.75" customHeight="1" thickBot="1" x14ac:dyDescent="0.25">
      <c r="A2" s="68" t="s">
        <v>68</v>
      </c>
      <c r="B2" s="59">
        <v>100</v>
      </c>
      <c r="C2" s="60"/>
      <c r="D2" s="69" t="s">
        <v>44</v>
      </c>
      <c r="E2" s="70">
        <v>101</v>
      </c>
      <c r="F2" s="60"/>
      <c r="G2" s="50" t="s">
        <v>1055</v>
      </c>
      <c r="H2" s="51">
        <v>921507</v>
      </c>
      <c r="I2" s="65"/>
      <c r="J2" s="71">
        <v>9005</v>
      </c>
      <c r="K2" s="71" t="s">
        <v>114</v>
      </c>
      <c r="L2" s="72" t="s">
        <v>1454</v>
      </c>
      <c r="M2" s="73" t="s">
        <v>114</v>
      </c>
      <c r="O2" s="80" t="s">
        <v>8</v>
      </c>
      <c r="P2" s="80"/>
      <c r="Q2" s="80" t="s">
        <v>132</v>
      </c>
      <c r="R2" s="1" t="s">
        <v>8</v>
      </c>
    </row>
    <row r="3" spans="1:18" ht="24.75" customHeight="1" thickBot="1" x14ac:dyDescent="0.25">
      <c r="A3" s="68" t="s">
        <v>133</v>
      </c>
      <c r="B3" s="68">
        <v>101</v>
      </c>
      <c r="C3" s="60"/>
      <c r="D3" s="69" t="s">
        <v>202</v>
      </c>
      <c r="E3" s="70">
        <v>103</v>
      </c>
      <c r="F3" s="60"/>
      <c r="G3" s="50" t="s">
        <v>1056</v>
      </c>
      <c r="H3" s="51">
        <v>922507</v>
      </c>
      <c r="I3" s="65"/>
      <c r="J3" s="71">
        <v>887</v>
      </c>
      <c r="K3" s="71" t="s">
        <v>116</v>
      </c>
      <c r="L3" s="72" t="s">
        <v>1455</v>
      </c>
      <c r="M3" s="73" t="s">
        <v>116</v>
      </c>
      <c r="O3" s="80" t="s">
        <v>39</v>
      </c>
      <c r="P3" s="80"/>
      <c r="Q3" s="80" t="s">
        <v>134</v>
      </c>
      <c r="R3" s="1" t="s">
        <v>39</v>
      </c>
    </row>
    <row r="4" spans="1:18" ht="24.75" customHeight="1" thickBot="1" x14ac:dyDescent="0.25">
      <c r="A4" s="68" t="s">
        <v>75</v>
      </c>
      <c r="B4" s="68">
        <v>104</v>
      </c>
      <c r="C4" s="60"/>
      <c r="D4" s="69" t="s">
        <v>833</v>
      </c>
      <c r="E4" s="70">
        <v>110</v>
      </c>
      <c r="F4" s="60"/>
      <c r="G4" s="50" t="s">
        <v>1057</v>
      </c>
      <c r="H4" s="51">
        <v>911507</v>
      </c>
      <c r="I4" s="65"/>
      <c r="J4" s="71">
        <v>7024</v>
      </c>
      <c r="K4" s="71" t="s">
        <v>117</v>
      </c>
      <c r="L4" s="72" t="s">
        <v>1456</v>
      </c>
      <c r="M4" s="73" t="s">
        <v>117</v>
      </c>
      <c r="O4" s="80" t="s">
        <v>135</v>
      </c>
      <c r="P4" s="80"/>
      <c r="Q4" s="80" t="s">
        <v>136</v>
      </c>
      <c r="R4" s="1" t="s">
        <v>135</v>
      </c>
    </row>
    <row r="5" spans="1:18" ht="24" customHeight="1" thickBot="1" x14ac:dyDescent="0.25">
      <c r="A5" s="75" t="s">
        <v>1034</v>
      </c>
      <c r="B5" s="75">
        <v>124</v>
      </c>
      <c r="C5" s="60"/>
      <c r="D5" s="69" t="s">
        <v>1184</v>
      </c>
      <c r="E5" s="70">
        <v>191</v>
      </c>
      <c r="F5" s="60"/>
      <c r="G5" s="50" t="s">
        <v>1058</v>
      </c>
      <c r="H5" s="51">
        <v>912507</v>
      </c>
      <c r="I5" s="65"/>
      <c r="J5" s="71">
        <v>9001</v>
      </c>
      <c r="K5" s="71" t="s">
        <v>118</v>
      </c>
      <c r="L5" s="72" t="s">
        <v>1457</v>
      </c>
      <c r="M5" s="73" t="s">
        <v>118</v>
      </c>
      <c r="O5" s="80" t="s">
        <v>137</v>
      </c>
      <c r="P5" s="80"/>
      <c r="Q5" s="80" t="s">
        <v>34</v>
      </c>
      <c r="R5" s="1" t="s">
        <v>137</v>
      </c>
    </row>
    <row r="6" spans="1:18" ht="24.75" customHeight="1" thickBot="1" x14ac:dyDescent="0.25">
      <c r="A6" s="68" t="s">
        <v>203</v>
      </c>
      <c r="B6" s="68">
        <v>114</v>
      </c>
      <c r="C6" s="60"/>
      <c r="D6" s="69" t="s">
        <v>1183</v>
      </c>
      <c r="E6" s="70">
        <v>192</v>
      </c>
      <c r="F6" s="60"/>
      <c r="G6" s="50" t="s">
        <v>1059</v>
      </c>
      <c r="H6" s="51">
        <v>921508</v>
      </c>
      <c r="I6" s="65"/>
      <c r="J6" s="71">
        <v>9006</v>
      </c>
      <c r="K6" s="71" t="s">
        <v>120</v>
      </c>
      <c r="L6" s="72" t="s">
        <v>1458</v>
      </c>
      <c r="M6" s="73" t="s">
        <v>120</v>
      </c>
      <c r="O6" s="80" t="s">
        <v>138</v>
      </c>
      <c r="P6" s="80"/>
      <c r="Q6" s="80" t="s">
        <v>6</v>
      </c>
      <c r="R6" s="1" t="s">
        <v>138</v>
      </c>
    </row>
    <row r="7" spans="1:18" ht="24.75" customHeight="1" thickBot="1" x14ac:dyDescent="0.25">
      <c r="A7" s="68" t="s">
        <v>123</v>
      </c>
      <c r="B7" s="68">
        <v>105</v>
      </c>
      <c r="C7" s="60"/>
      <c r="D7" s="76" t="s">
        <v>180</v>
      </c>
      <c r="E7" s="70">
        <v>195</v>
      </c>
      <c r="F7" s="60"/>
      <c r="G7" s="50" t="s">
        <v>1061</v>
      </c>
      <c r="H7" s="51">
        <v>922508</v>
      </c>
      <c r="I7" s="65"/>
      <c r="J7" s="71">
        <v>1028</v>
      </c>
      <c r="K7" s="71" t="s">
        <v>121</v>
      </c>
      <c r="L7" s="72" t="s">
        <v>1459</v>
      </c>
      <c r="M7" s="73" t="s">
        <v>121</v>
      </c>
      <c r="O7" s="80" t="s">
        <v>139</v>
      </c>
      <c r="P7" s="80"/>
      <c r="Q7" s="80" t="s">
        <v>140</v>
      </c>
      <c r="R7" s="1" t="s">
        <v>139</v>
      </c>
    </row>
    <row r="8" spans="1:18" ht="24.75" customHeight="1" thickBot="1" x14ac:dyDescent="0.25">
      <c r="A8" s="68" t="s">
        <v>62</v>
      </c>
      <c r="B8" s="68">
        <v>106</v>
      </c>
      <c r="C8" s="60"/>
      <c r="D8" s="76" t="s">
        <v>204</v>
      </c>
      <c r="E8" s="70">
        <v>196</v>
      </c>
      <c r="F8" s="60"/>
      <c r="G8" s="50" t="s">
        <v>1060</v>
      </c>
      <c r="H8" s="51">
        <v>911508</v>
      </c>
      <c r="I8" s="65"/>
      <c r="J8" s="71">
        <v>9016</v>
      </c>
      <c r="K8" s="71" t="s">
        <v>122</v>
      </c>
      <c r="L8" s="72" t="s">
        <v>1460</v>
      </c>
      <c r="M8" s="73" t="s">
        <v>122</v>
      </c>
      <c r="O8" s="80" t="s">
        <v>992</v>
      </c>
      <c r="P8" s="80"/>
      <c r="Q8" s="80" t="s">
        <v>993</v>
      </c>
      <c r="R8" s="1" t="s">
        <v>992</v>
      </c>
    </row>
    <row r="9" spans="1:18" ht="24.75" customHeight="1" thickBot="1" x14ac:dyDescent="0.25">
      <c r="A9" s="68" t="s">
        <v>1093</v>
      </c>
      <c r="B9" s="68">
        <v>107</v>
      </c>
      <c r="C9" s="60"/>
      <c r="D9" s="69" t="s">
        <v>887</v>
      </c>
      <c r="E9" s="70">
        <v>193</v>
      </c>
      <c r="F9" s="60"/>
      <c r="G9" s="50" t="s">
        <v>1062</v>
      </c>
      <c r="H9" s="51">
        <v>912508</v>
      </c>
      <c r="I9" s="65"/>
      <c r="J9" s="71">
        <v>3020</v>
      </c>
      <c r="K9" s="71" t="s">
        <v>124</v>
      </c>
      <c r="L9" s="72" t="s">
        <v>1461</v>
      </c>
      <c r="M9" s="73" t="s">
        <v>124</v>
      </c>
      <c r="O9" s="80" t="s">
        <v>1124</v>
      </c>
      <c r="P9" s="80"/>
      <c r="Q9" s="80" t="s">
        <v>1125</v>
      </c>
      <c r="R9" s="1" t="s">
        <v>1124</v>
      </c>
    </row>
    <row r="10" spans="1:18" ht="36.75" customHeight="1" thickBot="1" x14ac:dyDescent="0.25">
      <c r="A10" s="68" t="s">
        <v>205</v>
      </c>
      <c r="B10" s="68">
        <v>117</v>
      </c>
      <c r="C10" s="60"/>
      <c r="D10" s="69" t="s">
        <v>43</v>
      </c>
      <c r="E10" s="70">
        <v>171</v>
      </c>
      <c r="F10" s="60"/>
      <c r="G10" s="50" t="s">
        <v>1333</v>
      </c>
      <c r="H10" s="51">
        <v>921408</v>
      </c>
      <c r="I10" s="65"/>
      <c r="J10" s="71">
        <v>7015</v>
      </c>
      <c r="K10" s="71" t="s">
        <v>125</v>
      </c>
      <c r="L10" s="72" t="s">
        <v>1462</v>
      </c>
      <c r="M10" s="73" t="s">
        <v>125</v>
      </c>
      <c r="O10" s="80" t="s">
        <v>142</v>
      </c>
      <c r="P10" s="80"/>
      <c r="Q10" s="80" t="s">
        <v>56</v>
      </c>
      <c r="R10" s="1" t="s">
        <v>142</v>
      </c>
    </row>
    <row r="11" spans="1:18" ht="35.25" customHeight="1" thickBot="1" x14ac:dyDescent="0.25">
      <c r="A11" s="75" t="s">
        <v>1035</v>
      </c>
      <c r="B11" s="75">
        <v>127</v>
      </c>
      <c r="C11" s="60"/>
      <c r="D11" s="69" t="s">
        <v>83</v>
      </c>
      <c r="E11" s="70">
        <v>172</v>
      </c>
      <c r="F11" s="60"/>
      <c r="G11" s="50" t="s">
        <v>1334</v>
      </c>
      <c r="H11" s="77" t="s">
        <v>1332</v>
      </c>
      <c r="I11" s="65"/>
      <c r="J11" s="71">
        <v>311</v>
      </c>
      <c r="K11" s="71" t="s">
        <v>1449</v>
      </c>
      <c r="L11" s="72" t="s">
        <v>1463</v>
      </c>
      <c r="M11" s="73">
        <v>10</v>
      </c>
      <c r="O11" s="80" t="s">
        <v>986</v>
      </c>
      <c r="P11" s="80"/>
      <c r="Q11" s="80" t="s">
        <v>988</v>
      </c>
      <c r="R11" s="80" t="s">
        <v>986</v>
      </c>
    </row>
    <row r="12" spans="1:18" ht="33" customHeight="1" thickBot="1" x14ac:dyDescent="0.25">
      <c r="A12" s="78" t="s">
        <v>71</v>
      </c>
      <c r="B12" s="78">
        <v>128</v>
      </c>
      <c r="C12" s="60"/>
      <c r="D12" s="69" t="s">
        <v>72</v>
      </c>
      <c r="E12" s="70">
        <v>173</v>
      </c>
      <c r="F12" s="60"/>
      <c r="G12" s="50" t="s">
        <v>1335</v>
      </c>
      <c r="H12" s="51">
        <v>912408</v>
      </c>
      <c r="I12" s="65"/>
      <c r="J12" s="71" t="s">
        <v>206</v>
      </c>
      <c r="K12" s="71" t="s">
        <v>1450</v>
      </c>
      <c r="L12" s="72" t="s">
        <v>1464</v>
      </c>
      <c r="M12" s="73">
        <v>11</v>
      </c>
      <c r="O12" s="80" t="s">
        <v>987</v>
      </c>
      <c r="P12" s="80"/>
      <c r="Q12" s="80" t="s">
        <v>989</v>
      </c>
      <c r="R12" s="80" t="s">
        <v>987</v>
      </c>
    </row>
    <row r="13" spans="1:18" ht="24.75" customHeight="1" thickBot="1" x14ac:dyDescent="0.25">
      <c r="A13" s="68" t="s">
        <v>65</v>
      </c>
      <c r="B13" s="68">
        <v>108</v>
      </c>
      <c r="C13" s="60"/>
      <c r="D13" s="69" t="s">
        <v>52</v>
      </c>
      <c r="E13" s="70">
        <v>174</v>
      </c>
      <c r="F13" s="60"/>
      <c r="G13" s="50" t="s">
        <v>1199</v>
      </c>
      <c r="H13" s="51">
        <v>921509</v>
      </c>
      <c r="I13" s="65"/>
      <c r="J13" s="71">
        <v>5002</v>
      </c>
      <c r="K13" s="71" t="s">
        <v>1451</v>
      </c>
      <c r="L13" s="72" t="s">
        <v>1465</v>
      </c>
      <c r="M13" s="73">
        <v>12</v>
      </c>
      <c r="O13" s="80" t="s">
        <v>1192</v>
      </c>
      <c r="P13" s="80"/>
      <c r="Q13" s="80" t="s">
        <v>1193</v>
      </c>
      <c r="R13" s="80" t="s">
        <v>1192</v>
      </c>
    </row>
    <row r="14" spans="1:18" ht="30.75" customHeight="1" thickBot="1" x14ac:dyDescent="0.25">
      <c r="A14" s="68" t="s">
        <v>199</v>
      </c>
      <c r="B14" s="68">
        <v>109</v>
      </c>
      <c r="C14" s="60"/>
      <c r="D14" s="69" t="s">
        <v>80</v>
      </c>
      <c r="E14" s="70">
        <v>175</v>
      </c>
      <c r="F14" s="60"/>
      <c r="G14" s="50" t="s">
        <v>1200</v>
      </c>
      <c r="H14" s="51">
        <v>922509</v>
      </c>
      <c r="I14" s="65"/>
      <c r="J14" s="71">
        <v>1013</v>
      </c>
      <c r="K14" s="71" t="s">
        <v>1452</v>
      </c>
      <c r="L14" s="72" t="s">
        <v>1466</v>
      </c>
      <c r="M14" s="73">
        <v>13</v>
      </c>
      <c r="O14" s="80" t="s">
        <v>144</v>
      </c>
      <c r="P14" s="80"/>
      <c r="Q14" s="80" t="s">
        <v>145</v>
      </c>
      <c r="R14" s="1" t="s">
        <v>144</v>
      </c>
    </row>
    <row r="15" spans="1:18" ht="24.75" customHeight="1" thickBot="1" x14ac:dyDescent="0.25">
      <c r="A15" s="68" t="s">
        <v>1094</v>
      </c>
      <c r="B15" s="68">
        <v>116</v>
      </c>
      <c r="C15" s="60"/>
      <c r="D15" s="69" t="s">
        <v>944</v>
      </c>
      <c r="E15" s="70">
        <v>176</v>
      </c>
      <c r="F15" s="60"/>
      <c r="G15" s="50" t="s">
        <v>1201</v>
      </c>
      <c r="H15" s="51">
        <v>911509</v>
      </c>
      <c r="I15" s="65"/>
      <c r="J15" s="71">
        <v>7043</v>
      </c>
      <c r="K15" s="71" t="s">
        <v>945</v>
      </c>
      <c r="L15" s="72" t="s">
        <v>1467</v>
      </c>
      <c r="M15" s="73" t="s">
        <v>945</v>
      </c>
    </row>
    <row r="16" spans="1:18" ht="24.75" customHeight="1" thickBot="1" x14ac:dyDescent="0.25">
      <c r="A16" s="68" t="s">
        <v>1095</v>
      </c>
      <c r="B16" s="68">
        <v>118</v>
      </c>
      <c r="C16" s="60"/>
      <c r="D16" s="76" t="s">
        <v>1181</v>
      </c>
      <c r="E16" s="70">
        <v>177</v>
      </c>
      <c r="F16" s="60"/>
      <c r="G16" s="50" t="s">
        <v>1202</v>
      </c>
      <c r="H16" s="51">
        <v>912509</v>
      </c>
      <c r="I16" s="65"/>
      <c r="J16" s="71">
        <v>1242</v>
      </c>
      <c r="K16" s="71" t="s">
        <v>971</v>
      </c>
      <c r="L16" s="72" t="s">
        <v>1340</v>
      </c>
      <c r="M16" s="73" t="s">
        <v>971</v>
      </c>
    </row>
    <row r="17" spans="1:13" ht="24.75" customHeight="1" thickBot="1" x14ac:dyDescent="0.25">
      <c r="A17" s="68" t="s">
        <v>1256</v>
      </c>
      <c r="B17" s="68">
        <v>119</v>
      </c>
      <c r="C17" s="60"/>
      <c r="D17" s="69" t="s">
        <v>208</v>
      </c>
      <c r="E17" s="70">
        <v>178</v>
      </c>
      <c r="F17" s="60"/>
      <c r="G17" s="50" t="s">
        <v>1063</v>
      </c>
      <c r="H17" s="51">
        <v>921511</v>
      </c>
      <c r="I17" s="60"/>
      <c r="J17" s="71"/>
      <c r="K17" s="71">
        <v>0</v>
      </c>
      <c r="L17" s="72" t="s">
        <v>127</v>
      </c>
      <c r="M17" s="73" t="s">
        <v>207</v>
      </c>
    </row>
    <row r="18" spans="1:13" ht="24.75" customHeight="1" thickBot="1" x14ac:dyDescent="0.25">
      <c r="A18" s="68" t="s">
        <v>74</v>
      </c>
      <c r="B18" s="68">
        <v>120</v>
      </c>
      <c r="C18" s="60"/>
      <c r="D18" s="69" t="s">
        <v>209</v>
      </c>
      <c r="E18" s="70">
        <v>179</v>
      </c>
      <c r="F18" s="60"/>
      <c r="G18" s="50" t="s">
        <v>1064</v>
      </c>
      <c r="H18" s="51">
        <v>922511</v>
      </c>
      <c r="I18" s="60"/>
      <c r="J18" s="79"/>
      <c r="K18" s="79"/>
      <c r="L18" s="79"/>
      <c r="M18" s="79"/>
    </row>
    <row r="19" spans="1:13" ht="24.75" customHeight="1" thickBot="1" x14ac:dyDescent="0.25">
      <c r="A19" s="68" t="s">
        <v>126</v>
      </c>
      <c r="B19" s="68">
        <v>150</v>
      </c>
      <c r="C19" s="60"/>
      <c r="D19" s="69" t="s">
        <v>935</v>
      </c>
      <c r="E19" s="70">
        <v>181</v>
      </c>
      <c r="F19" s="60"/>
      <c r="G19" s="50" t="s">
        <v>1065</v>
      </c>
      <c r="H19" s="51">
        <v>911511</v>
      </c>
      <c r="I19" s="60"/>
    </row>
    <row r="20" spans="1:13" ht="24.75" customHeight="1" thickBot="1" x14ac:dyDescent="0.25">
      <c r="A20" s="68" t="s">
        <v>128</v>
      </c>
      <c r="B20" s="68">
        <v>151</v>
      </c>
      <c r="C20" s="60"/>
      <c r="D20" s="69" t="s">
        <v>1143</v>
      </c>
      <c r="E20" s="70">
        <v>700</v>
      </c>
      <c r="F20" s="60"/>
      <c r="G20" s="50" t="s">
        <v>1066</v>
      </c>
      <c r="H20" s="51">
        <v>912511</v>
      </c>
      <c r="I20" s="60"/>
    </row>
    <row r="21" spans="1:13" ht="30.6" customHeight="1" thickBot="1" x14ac:dyDescent="0.25">
      <c r="A21" s="68" t="s">
        <v>129</v>
      </c>
      <c r="B21" s="68">
        <v>152</v>
      </c>
      <c r="C21" s="60"/>
      <c r="D21" s="69" t="s">
        <v>1030</v>
      </c>
      <c r="E21" s="70">
        <v>701</v>
      </c>
      <c r="F21" s="60"/>
      <c r="G21" s="50" t="s">
        <v>1122</v>
      </c>
      <c r="H21" s="51">
        <v>912610</v>
      </c>
      <c r="I21" s="60"/>
    </row>
    <row r="22" spans="1:13" ht="35.450000000000003" customHeight="1" thickBot="1" x14ac:dyDescent="0.25">
      <c r="A22" s="68" t="s">
        <v>130</v>
      </c>
      <c r="B22" s="68">
        <v>153</v>
      </c>
      <c r="C22" s="60"/>
      <c r="D22" s="69" t="s">
        <v>210</v>
      </c>
      <c r="E22" s="70">
        <v>705</v>
      </c>
      <c r="F22" s="60"/>
      <c r="G22" s="50" t="s">
        <v>1197</v>
      </c>
      <c r="H22" s="51">
        <v>922410</v>
      </c>
      <c r="I22" s="60"/>
    </row>
    <row r="23" spans="1:13" ht="39" customHeight="1" thickBot="1" x14ac:dyDescent="0.25">
      <c r="A23" s="68" t="s">
        <v>1101</v>
      </c>
      <c r="B23" s="68">
        <v>154</v>
      </c>
      <c r="C23" s="60"/>
      <c r="D23" s="69" t="s">
        <v>211</v>
      </c>
      <c r="E23" s="70">
        <v>711</v>
      </c>
      <c r="F23" s="60"/>
      <c r="G23" s="50" t="s">
        <v>1198</v>
      </c>
      <c r="H23" s="51">
        <v>921410</v>
      </c>
      <c r="I23" s="60"/>
    </row>
    <row r="24" spans="1:13" ht="31.5" customHeight="1" thickBot="1" x14ac:dyDescent="0.25">
      <c r="A24" s="68" t="s">
        <v>1240</v>
      </c>
      <c r="B24" s="68">
        <v>155</v>
      </c>
      <c r="C24" s="60"/>
      <c r="D24" s="69" t="s">
        <v>213</v>
      </c>
      <c r="E24" s="70">
        <v>715</v>
      </c>
      <c r="F24" s="60"/>
      <c r="G24" s="50" t="s">
        <v>1067</v>
      </c>
      <c r="H24" s="51">
        <v>921514</v>
      </c>
      <c r="I24" s="60"/>
    </row>
    <row r="25" spans="1:13" ht="35.25" customHeight="1" thickBot="1" x14ac:dyDescent="0.25">
      <c r="A25" s="68" t="s">
        <v>1239</v>
      </c>
      <c r="B25" s="68">
        <v>156</v>
      </c>
      <c r="C25" s="60"/>
      <c r="D25" s="69" t="s">
        <v>893</v>
      </c>
      <c r="E25" s="81">
        <v>721</v>
      </c>
      <c r="F25" s="60"/>
      <c r="G25" s="50" t="s">
        <v>1068</v>
      </c>
      <c r="H25" s="51">
        <v>922514</v>
      </c>
      <c r="I25" s="65"/>
    </row>
    <row r="26" spans="1:13" ht="33" customHeight="1" thickBot="1" x14ac:dyDescent="0.25">
      <c r="A26" s="68" t="s">
        <v>1108</v>
      </c>
      <c r="B26" s="68">
        <v>160</v>
      </c>
      <c r="C26" s="60"/>
      <c r="D26" s="82" t="s">
        <v>894</v>
      </c>
      <c r="E26" s="81">
        <v>722</v>
      </c>
      <c r="F26" s="60"/>
      <c r="G26" s="50" t="s">
        <v>1069</v>
      </c>
      <c r="H26" s="51">
        <v>911514</v>
      </c>
      <c r="I26" s="65"/>
    </row>
    <row r="27" spans="1:13" ht="37.5" customHeight="1" thickBot="1" x14ac:dyDescent="0.25">
      <c r="A27" s="68" t="s">
        <v>1109</v>
      </c>
      <c r="B27" s="68">
        <v>161</v>
      </c>
      <c r="C27" s="60"/>
      <c r="D27" s="82" t="s">
        <v>895</v>
      </c>
      <c r="E27" s="81">
        <v>723</v>
      </c>
      <c r="F27" s="60"/>
      <c r="G27" s="50" t="s">
        <v>1070</v>
      </c>
      <c r="H27" s="51">
        <v>912514</v>
      </c>
      <c r="I27" s="65"/>
    </row>
    <row r="28" spans="1:13" ht="33" customHeight="1" thickBot="1" x14ac:dyDescent="0.25">
      <c r="A28" s="68" t="s">
        <v>1257</v>
      </c>
      <c r="B28" s="68">
        <v>162</v>
      </c>
      <c r="C28" s="60"/>
      <c r="D28" s="82" t="s">
        <v>896</v>
      </c>
      <c r="E28" s="81">
        <v>724</v>
      </c>
      <c r="F28" s="60"/>
      <c r="G28" s="50" t="s">
        <v>1440</v>
      </c>
      <c r="H28" s="51">
        <v>821512</v>
      </c>
      <c r="I28" s="65"/>
    </row>
    <row r="29" spans="1:13" ht="38.25" customHeight="1" thickBot="1" x14ac:dyDescent="0.25">
      <c r="A29" s="68" t="s">
        <v>212</v>
      </c>
      <c r="B29" s="68">
        <v>164</v>
      </c>
      <c r="C29" s="60"/>
      <c r="D29" s="82" t="s">
        <v>897</v>
      </c>
      <c r="E29" s="81">
        <v>725</v>
      </c>
      <c r="F29" s="60"/>
      <c r="G29" s="50" t="s">
        <v>1071</v>
      </c>
      <c r="H29" s="51">
        <v>921512</v>
      </c>
      <c r="I29" s="65"/>
    </row>
    <row r="30" spans="1:13" ht="42" customHeight="1" thickBot="1" x14ac:dyDescent="0.25">
      <c r="A30" s="68" t="s">
        <v>67</v>
      </c>
      <c r="B30" s="68">
        <v>165</v>
      </c>
      <c r="C30" s="60"/>
      <c r="D30" s="82" t="s">
        <v>898</v>
      </c>
      <c r="E30" s="81">
        <v>726</v>
      </c>
      <c r="F30" s="60"/>
      <c r="G30" s="50" t="s">
        <v>1098</v>
      </c>
      <c r="H30" s="51" t="s">
        <v>1097</v>
      </c>
      <c r="I30" s="65"/>
    </row>
    <row r="31" spans="1:13" ht="27" customHeight="1" thickBot="1" x14ac:dyDescent="0.25">
      <c r="A31" s="68" t="s">
        <v>215</v>
      </c>
      <c r="B31" s="68">
        <v>167</v>
      </c>
      <c r="C31" s="60"/>
      <c r="D31" s="82" t="s">
        <v>899</v>
      </c>
      <c r="E31" s="81">
        <v>727</v>
      </c>
      <c r="F31" s="60"/>
      <c r="G31" s="50" t="s">
        <v>1072</v>
      </c>
      <c r="H31" s="51">
        <v>911512</v>
      </c>
      <c r="I31" s="65"/>
    </row>
    <row r="32" spans="1:13" ht="27.75" customHeight="1" thickBot="1" x14ac:dyDescent="0.25">
      <c r="A32" s="68" t="s">
        <v>131</v>
      </c>
      <c r="B32" s="68">
        <v>168</v>
      </c>
      <c r="C32" s="60"/>
      <c r="D32" s="82" t="s">
        <v>900</v>
      </c>
      <c r="E32" s="81">
        <v>728</v>
      </c>
      <c r="F32" s="60"/>
      <c r="G32" s="50" t="s">
        <v>1100</v>
      </c>
      <c r="H32" s="51" t="s">
        <v>1099</v>
      </c>
      <c r="I32" s="65"/>
    </row>
    <row r="33" spans="1:12" ht="36.75" customHeight="1" thickBot="1" x14ac:dyDescent="0.25">
      <c r="A33" s="68" t="s">
        <v>69</v>
      </c>
      <c r="B33" s="68">
        <v>201</v>
      </c>
      <c r="C33" s="60"/>
      <c r="D33" s="82" t="s">
        <v>901</v>
      </c>
      <c r="E33" s="81">
        <v>729</v>
      </c>
      <c r="F33" s="60"/>
      <c r="G33" s="50" t="s">
        <v>1073</v>
      </c>
      <c r="H33" s="51">
        <v>921513</v>
      </c>
      <c r="I33" s="65"/>
      <c r="J33" s="74" t="s">
        <v>189</v>
      </c>
      <c r="K33" s="74" t="s">
        <v>1441</v>
      </c>
      <c r="L33" s="74" t="s">
        <v>198</v>
      </c>
    </row>
    <row r="34" spans="1:12" ht="36" customHeight="1" thickBot="1" x14ac:dyDescent="0.25">
      <c r="A34" s="68" t="s">
        <v>28</v>
      </c>
      <c r="B34" s="68">
        <v>202</v>
      </c>
      <c r="C34" s="60"/>
      <c r="D34" s="82" t="s">
        <v>902</v>
      </c>
      <c r="E34" s="81">
        <v>730</v>
      </c>
      <c r="F34" s="60"/>
      <c r="G34" s="50" t="s">
        <v>1074</v>
      </c>
      <c r="H34" s="83">
        <v>922513</v>
      </c>
      <c r="I34" s="65"/>
      <c r="J34" s="74" t="s">
        <v>114</v>
      </c>
      <c r="L34" s="74" t="s">
        <v>1020</v>
      </c>
    </row>
    <row r="35" spans="1:12" ht="33.75" customHeight="1" thickBot="1" x14ac:dyDescent="0.25">
      <c r="A35" s="68" t="s">
        <v>82</v>
      </c>
      <c r="B35" s="68">
        <v>203</v>
      </c>
      <c r="C35" s="60"/>
      <c r="D35" s="82" t="s">
        <v>903</v>
      </c>
      <c r="E35" s="81">
        <v>731</v>
      </c>
      <c r="F35" s="60"/>
      <c r="G35" s="50" t="s">
        <v>1075</v>
      </c>
      <c r="H35" s="83">
        <v>911513</v>
      </c>
      <c r="I35" s="65"/>
      <c r="J35" s="74" t="s">
        <v>116</v>
      </c>
      <c r="L35" s="74" t="s">
        <v>194</v>
      </c>
    </row>
    <row r="36" spans="1:12" ht="33.75" customHeight="1" thickBot="1" x14ac:dyDescent="0.25">
      <c r="A36" s="68" t="s">
        <v>151</v>
      </c>
      <c r="B36" s="68">
        <v>212</v>
      </c>
      <c r="C36" s="60"/>
      <c r="D36" s="82" t="s">
        <v>1001</v>
      </c>
      <c r="E36" s="81">
        <v>732</v>
      </c>
      <c r="F36" s="60"/>
      <c r="G36" s="50" t="s">
        <v>1076</v>
      </c>
      <c r="H36" s="83">
        <v>912513</v>
      </c>
      <c r="I36" s="65"/>
      <c r="J36" s="74" t="s">
        <v>117</v>
      </c>
      <c r="L36" s="74" t="s">
        <v>195</v>
      </c>
    </row>
    <row r="37" spans="1:12" ht="35.25" customHeight="1" thickBot="1" x14ac:dyDescent="0.25">
      <c r="A37" s="68" t="s">
        <v>153</v>
      </c>
      <c r="B37" s="68">
        <v>214</v>
      </c>
      <c r="C37" s="60"/>
      <c r="D37" s="82" t="s">
        <v>1042</v>
      </c>
      <c r="E37" s="81">
        <v>733</v>
      </c>
      <c r="F37" s="60"/>
      <c r="G37" s="50" t="s">
        <v>1137</v>
      </c>
      <c r="H37" s="83">
        <v>922810</v>
      </c>
      <c r="I37" s="65"/>
      <c r="J37" s="74" t="s">
        <v>118</v>
      </c>
      <c r="L37" s="74" t="s">
        <v>196</v>
      </c>
    </row>
    <row r="38" spans="1:12" ht="40.5" customHeight="1" thickBot="1" x14ac:dyDescent="0.25">
      <c r="A38" s="68" t="s">
        <v>915</v>
      </c>
      <c r="B38" s="68">
        <v>216</v>
      </c>
      <c r="C38" s="60"/>
      <c r="D38" s="82" t="s">
        <v>904</v>
      </c>
      <c r="E38" s="82">
        <v>741</v>
      </c>
      <c r="F38" s="60"/>
      <c r="G38" s="50" t="s">
        <v>1138</v>
      </c>
      <c r="H38" s="83">
        <v>912810</v>
      </c>
      <c r="I38" s="65"/>
      <c r="J38" s="74" t="s">
        <v>120</v>
      </c>
      <c r="L38" s="74" t="s">
        <v>1336</v>
      </c>
    </row>
    <row r="39" spans="1:12" ht="31.5" customHeight="1" thickBot="1" x14ac:dyDescent="0.25">
      <c r="A39" s="68" t="s">
        <v>1258</v>
      </c>
      <c r="B39" s="68">
        <v>218</v>
      </c>
      <c r="C39" s="60"/>
      <c r="D39" s="82" t="s">
        <v>905</v>
      </c>
      <c r="E39" s="81">
        <v>742</v>
      </c>
      <c r="F39" s="60"/>
      <c r="G39" s="50" t="s">
        <v>1151</v>
      </c>
      <c r="H39" s="77" t="s">
        <v>1153</v>
      </c>
      <c r="I39" s="65"/>
      <c r="J39" s="74" t="s">
        <v>121</v>
      </c>
      <c r="L39" s="74" t="s">
        <v>1337</v>
      </c>
    </row>
    <row r="40" spans="1:12" ht="39.75" customHeight="1" thickBot="1" x14ac:dyDescent="0.25">
      <c r="A40" s="68" t="s">
        <v>64</v>
      </c>
      <c r="B40" s="68">
        <v>222</v>
      </c>
      <c r="C40" s="60"/>
      <c r="D40" s="82" t="s">
        <v>906</v>
      </c>
      <c r="E40" s="81">
        <v>743</v>
      </c>
      <c r="F40" s="60"/>
      <c r="G40" s="50" t="s">
        <v>1152</v>
      </c>
      <c r="H40" s="77" t="s">
        <v>1154</v>
      </c>
      <c r="I40" s="65"/>
      <c r="J40" s="74" t="s">
        <v>124</v>
      </c>
      <c r="L40" s="74" t="s">
        <v>839</v>
      </c>
    </row>
    <row r="41" spans="1:12" ht="33.75" customHeight="1" thickBot="1" x14ac:dyDescent="0.25">
      <c r="A41" s="68" t="s">
        <v>108</v>
      </c>
      <c r="B41" s="68">
        <v>224</v>
      </c>
      <c r="C41" s="60"/>
      <c r="D41" s="82" t="s">
        <v>907</v>
      </c>
      <c r="E41" s="81">
        <v>744</v>
      </c>
      <c r="F41" s="60"/>
      <c r="G41" s="50" t="s">
        <v>1077</v>
      </c>
      <c r="H41" s="83">
        <v>921505</v>
      </c>
      <c r="I41" s="65"/>
      <c r="J41" s="74" t="s">
        <v>125</v>
      </c>
      <c r="L41" s="74" t="s">
        <v>197</v>
      </c>
    </row>
    <row r="42" spans="1:12" ht="36.75" customHeight="1" thickBot="1" x14ac:dyDescent="0.25">
      <c r="A42" s="68" t="s">
        <v>156</v>
      </c>
      <c r="B42" s="68">
        <v>225</v>
      </c>
      <c r="C42" s="60"/>
      <c r="D42" s="82" t="s">
        <v>908</v>
      </c>
      <c r="E42" s="81">
        <v>745</v>
      </c>
      <c r="F42" s="60"/>
      <c r="G42" s="50" t="s">
        <v>1079</v>
      </c>
      <c r="H42" s="83">
        <v>911505</v>
      </c>
      <c r="I42" s="65"/>
      <c r="J42" s="84">
        <v>10</v>
      </c>
      <c r="K42" s="84"/>
      <c r="L42" s="74" t="s">
        <v>1511</v>
      </c>
    </row>
    <row r="43" spans="1:12" ht="36" customHeight="1" thickBot="1" x14ac:dyDescent="0.25">
      <c r="A43" s="68" t="s">
        <v>1259</v>
      </c>
      <c r="B43" s="68">
        <v>226</v>
      </c>
      <c r="C43" s="60"/>
      <c r="D43" s="82" t="s">
        <v>909</v>
      </c>
      <c r="E43" s="81">
        <v>746</v>
      </c>
      <c r="F43" s="60"/>
      <c r="G43" s="50" t="s">
        <v>1402</v>
      </c>
      <c r="H43" s="77" t="s">
        <v>1404</v>
      </c>
      <c r="I43" s="65"/>
    </row>
    <row r="44" spans="1:12" ht="34.15" customHeight="1" thickBot="1" x14ac:dyDescent="0.25">
      <c r="A44" s="68" t="s">
        <v>966</v>
      </c>
      <c r="B44" s="68">
        <v>230</v>
      </c>
      <c r="C44" s="60"/>
      <c r="D44" s="82" t="s">
        <v>910</v>
      </c>
      <c r="E44" s="81">
        <v>747</v>
      </c>
      <c r="F44" s="60"/>
      <c r="G44" s="50" t="s">
        <v>1403</v>
      </c>
      <c r="H44" s="77" t="s">
        <v>1405</v>
      </c>
      <c r="I44" s="65"/>
      <c r="J44" s="85">
        <v>1</v>
      </c>
      <c r="K44" s="85"/>
      <c r="L44" s="85" t="s">
        <v>50</v>
      </c>
    </row>
    <row r="45" spans="1:12" ht="39" customHeight="1" thickBot="1" x14ac:dyDescent="0.25">
      <c r="A45" s="68" t="s">
        <v>1196</v>
      </c>
      <c r="B45" s="68">
        <v>240</v>
      </c>
      <c r="C45" s="60"/>
      <c r="D45" s="82" t="s">
        <v>911</v>
      </c>
      <c r="E45" s="81">
        <v>748</v>
      </c>
      <c r="F45" s="60"/>
      <c r="G45" s="50" t="s">
        <v>1078</v>
      </c>
      <c r="H45" s="83">
        <v>921405</v>
      </c>
      <c r="I45" s="65"/>
      <c r="J45" s="85">
        <v>2</v>
      </c>
      <c r="K45" s="85"/>
      <c r="L45" s="85" t="s">
        <v>879</v>
      </c>
    </row>
    <row r="46" spans="1:12" ht="24.75" customHeight="1" thickBot="1" x14ac:dyDescent="0.25">
      <c r="A46" s="68" t="s">
        <v>37</v>
      </c>
      <c r="B46" s="68">
        <v>301</v>
      </c>
      <c r="C46" s="60"/>
      <c r="D46" s="82" t="s">
        <v>912</v>
      </c>
      <c r="E46" s="81">
        <v>749</v>
      </c>
      <c r="F46" s="60"/>
      <c r="G46" s="50" t="s">
        <v>1080</v>
      </c>
      <c r="H46" s="83">
        <v>911405</v>
      </c>
      <c r="I46" s="65"/>
      <c r="J46" s="85">
        <v>3</v>
      </c>
      <c r="K46" s="85"/>
      <c r="L46" s="85" t="s">
        <v>51</v>
      </c>
    </row>
    <row r="47" spans="1:12" ht="24.75" customHeight="1" thickBot="1" x14ac:dyDescent="0.25">
      <c r="A47" s="68" t="s">
        <v>1048</v>
      </c>
      <c r="B47" s="68">
        <v>305</v>
      </c>
      <c r="C47" s="60"/>
      <c r="D47" s="82" t="s">
        <v>913</v>
      </c>
      <c r="E47" s="81">
        <v>750</v>
      </c>
      <c r="F47" s="60"/>
      <c r="G47" s="52" t="s">
        <v>1406</v>
      </c>
      <c r="H47" s="73" t="s">
        <v>150</v>
      </c>
      <c r="I47" s="65"/>
      <c r="J47" s="85">
        <v>4</v>
      </c>
      <c r="K47" s="85"/>
      <c r="L47" s="85" t="s">
        <v>885</v>
      </c>
    </row>
    <row r="48" spans="1:12" ht="24.75" customHeight="1" thickBot="1" x14ac:dyDescent="0.25">
      <c r="A48" s="68" t="s">
        <v>78</v>
      </c>
      <c r="B48" s="68">
        <v>310</v>
      </c>
      <c r="C48" s="60"/>
      <c r="D48" s="82" t="s">
        <v>914</v>
      </c>
      <c r="E48" s="81">
        <v>751</v>
      </c>
      <c r="F48" s="60"/>
      <c r="G48" s="52" t="s">
        <v>1407</v>
      </c>
      <c r="H48" s="73" t="s">
        <v>152</v>
      </c>
      <c r="I48" s="65"/>
      <c r="J48" s="85">
        <v>5</v>
      </c>
      <c r="K48" s="85"/>
      <c r="L48" s="85" t="s">
        <v>57</v>
      </c>
    </row>
    <row r="49" spans="1:13" ht="28.5" customHeight="1" thickBot="1" x14ac:dyDescent="0.25">
      <c r="A49" s="68" t="s">
        <v>79</v>
      </c>
      <c r="B49" s="68">
        <v>311</v>
      </c>
      <c r="C49" s="60"/>
      <c r="D49" s="82" t="s">
        <v>1040</v>
      </c>
      <c r="E49" s="81">
        <v>752</v>
      </c>
      <c r="F49" s="60"/>
      <c r="G49" s="52" t="s">
        <v>1408</v>
      </c>
      <c r="H49" s="73" t="s">
        <v>154</v>
      </c>
      <c r="I49" s="65"/>
      <c r="J49" s="85">
        <v>6</v>
      </c>
      <c r="K49" s="85"/>
      <c r="L49" s="85" t="s">
        <v>193</v>
      </c>
    </row>
    <row r="50" spans="1:13" ht="24.75" customHeight="1" thickBot="1" x14ac:dyDescent="0.25">
      <c r="A50" s="68" t="s">
        <v>24</v>
      </c>
      <c r="B50" s="68">
        <v>320</v>
      </c>
      <c r="C50" s="60"/>
      <c r="D50" s="82" t="s">
        <v>1041</v>
      </c>
      <c r="E50" s="81">
        <v>753</v>
      </c>
      <c r="F50" s="60"/>
      <c r="G50" s="52" t="s">
        <v>226</v>
      </c>
      <c r="H50" s="73" t="s">
        <v>155</v>
      </c>
      <c r="I50" s="65"/>
      <c r="J50" s="85">
        <v>7</v>
      </c>
      <c r="K50" s="85"/>
      <c r="L50" s="85" t="s">
        <v>943</v>
      </c>
    </row>
    <row r="51" spans="1:13" ht="24.75" customHeight="1" thickBot="1" x14ac:dyDescent="0.25">
      <c r="A51" s="68" t="s">
        <v>223</v>
      </c>
      <c r="B51" s="68">
        <v>330</v>
      </c>
      <c r="C51" s="86"/>
      <c r="D51" s="82" t="s">
        <v>214</v>
      </c>
      <c r="E51" s="81">
        <v>718</v>
      </c>
      <c r="F51" s="60"/>
      <c r="G51" s="52" t="s">
        <v>1024</v>
      </c>
      <c r="H51" s="69" t="s">
        <v>1025</v>
      </c>
      <c r="I51" s="65"/>
      <c r="J51" s="85">
        <v>8</v>
      </c>
      <c r="K51" s="85"/>
      <c r="L51" s="85" t="s">
        <v>886</v>
      </c>
    </row>
    <row r="52" spans="1:13" ht="24.75" customHeight="1" thickBot="1" x14ac:dyDescent="0.25">
      <c r="A52" s="68" t="s">
        <v>224</v>
      </c>
      <c r="B52" s="68">
        <v>331</v>
      </c>
      <c r="C52" s="86"/>
      <c r="D52" s="82" t="s">
        <v>883</v>
      </c>
      <c r="E52" s="81">
        <v>719</v>
      </c>
      <c r="F52" s="60"/>
      <c r="G52" s="52" t="s">
        <v>1329</v>
      </c>
      <c r="H52" s="87" t="s">
        <v>1330</v>
      </c>
      <c r="I52" s="65"/>
    </row>
    <row r="53" spans="1:13" ht="24.75" customHeight="1" thickBot="1" x14ac:dyDescent="0.25">
      <c r="A53" s="68" t="s">
        <v>94</v>
      </c>
      <c r="B53" s="68">
        <v>340</v>
      </c>
      <c r="C53" s="60"/>
      <c r="D53" s="82" t="s">
        <v>1049</v>
      </c>
      <c r="E53" s="81">
        <v>771</v>
      </c>
      <c r="F53" s="60"/>
      <c r="G53" s="52" t="s">
        <v>102</v>
      </c>
      <c r="H53" s="73" t="s">
        <v>229</v>
      </c>
      <c r="I53" s="65"/>
      <c r="J53" s="80" t="s">
        <v>1370</v>
      </c>
      <c r="K53" s="80"/>
      <c r="L53" s="80" t="s">
        <v>1409</v>
      </c>
    </row>
    <row r="54" spans="1:13" ht="34.15" customHeight="1" thickBot="1" x14ac:dyDescent="0.25">
      <c r="A54" s="68" t="s">
        <v>161</v>
      </c>
      <c r="B54" s="68">
        <v>341</v>
      </c>
      <c r="C54" s="60"/>
      <c r="D54" s="82" t="s">
        <v>1050</v>
      </c>
      <c r="E54" s="81">
        <v>772</v>
      </c>
      <c r="F54" s="60"/>
      <c r="G54" s="52" t="s">
        <v>103</v>
      </c>
      <c r="H54" s="73" t="s">
        <v>238</v>
      </c>
      <c r="I54" s="65"/>
      <c r="J54" s="80" t="s">
        <v>1371</v>
      </c>
      <c r="K54" s="80"/>
      <c r="L54" s="80" t="s">
        <v>1410</v>
      </c>
      <c r="M54" s="1" t="s">
        <v>1343</v>
      </c>
    </row>
    <row r="55" spans="1:13" ht="31.9" customHeight="1" thickBot="1" x14ac:dyDescent="0.25">
      <c r="A55" s="68" t="s">
        <v>31</v>
      </c>
      <c r="B55" s="68">
        <v>400</v>
      </c>
      <c r="C55" s="60"/>
      <c r="D55" s="69" t="s">
        <v>216</v>
      </c>
      <c r="E55" s="70">
        <v>761</v>
      </c>
      <c r="F55" s="60"/>
      <c r="G55" s="88" t="s">
        <v>158</v>
      </c>
      <c r="H55" s="73" t="s">
        <v>230</v>
      </c>
      <c r="I55" s="65"/>
      <c r="J55" s="80" t="s">
        <v>1427</v>
      </c>
      <c r="K55" s="80"/>
      <c r="L55" s="80" t="s">
        <v>1411</v>
      </c>
      <c r="M55" s="1" t="s">
        <v>1345</v>
      </c>
    </row>
    <row r="56" spans="1:13" ht="37.5" customHeight="1" thickBot="1" x14ac:dyDescent="0.25">
      <c r="A56" s="68" t="s">
        <v>225</v>
      </c>
      <c r="B56" s="68">
        <v>402</v>
      </c>
      <c r="C56" s="60"/>
      <c r="D56" s="69" t="s">
        <v>14</v>
      </c>
      <c r="E56" s="70">
        <v>791</v>
      </c>
      <c r="F56" s="60"/>
      <c r="G56" s="88" t="s">
        <v>958</v>
      </c>
      <c r="H56" s="73" t="s">
        <v>233</v>
      </c>
      <c r="I56" s="65"/>
      <c r="J56" s="80" t="s">
        <v>1428</v>
      </c>
      <c r="K56" s="80"/>
      <c r="L56" s="80" t="s">
        <v>1412</v>
      </c>
      <c r="M56" s="1" t="s">
        <v>1431</v>
      </c>
    </row>
    <row r="57" spans="1:13" ht="33" customHeight="1" thickBot="1" x14ac:dyDescent="0.25">
      <c r="A57" s="68" t="s">
        <v>146</v>
      </c>
      <c r="B57" s="68">
        <v>404</v>
      </c>
      <c r="C57" s="60"/>
      <c r="D57" s="69" t="s">
        <v>19</v>
      </c>
      <c r="E57" s="70">
        <v>200</v>
      </c>
      <c r="F57" s="60"/>
      <c r="G57" s="88" t="s">
        <v>959</v>
      </c>
      <c r="H57" s="73" t="s">
        <v>236</v>
      </c>
      <c r="I57" s="65"/>
      <c r="J57" s="80" t="s">
        <v>1373</v>
      </c>
      <c r="K57" s="80"/>
      <c r="L57" s="80" t="s">
        <v>1413</v>
      </c>
      <c r="M57" s="1" t="s">
        <v>1432</v>
      </c>
    </row>
    <row r="58" spans="1:13" ht="35.450000000000003" customHeight="1" thickBot="1" x14ac:dyDescent="0.25">
      <c r="A58" s="68" t="s">
        <v>27</v>
      </c>
      <c r="B58" s="68">
        <v>406</v>
      </c>
      <c r="C58" s="60"/>
      <c r="D58" s="69" t="s">
        <v>1437</v>
      </c>
      <c r="E58" s="70">
        <v>201</v>
      </c>
      <c r="F58" s="60"/>
      <c r="G58" s="88" t="s">
        <v>1213</v>
      </c>
      <c r="H58" s="73" t="s">
        <v>1241</v>
      </c>
      <c r="I58" s="65"/>
      <c r="J58" s="80" t="s">
        <v>1372</v>
      </c>
      <c r="K58" s="80"/>
      <c r="L58" s="80" t="s">
        <v>1414</v>
      </c>
      <c r="M58" s="1" t="s">
        <v>1349</v>
      </c>
    </row>
    <row r="59" spans="1:13" ht="35.450000000000003" customHeight="1" thickBot="1" x14ac:dyDescent="0.25">
      <c r="A59" s="68" t="s">
        <v>1144</v>
      </c>
      <c r="B59" s="68">
        <v>420</v>
      </c>
      <c r="C59" s="60"/>
      <c r="D59" s="69" t="s">
        <v>217</v>
      </c>
      <c r="E59" s="70">
        <v>206</v>
      </c>
      <c r="F59" s="60"/>
      <c r="G59" s="52" t="s">
        <v>85</v>
      </c>
      <c r="H59" s="73" t="s">
        <v>240</v>
      </c>
      <c r="I59" s="65"/>
      <c r="J59" s="80" t="s">
        <v>1374</v>
      </c>
      <c r="K59" s="80"/>
      <c r="L59" s="80" t="s">
        <v>1415</v>
      </c>
      <c r="M59" s="1" t="s">
        <v>1347</v>
      </c>
    </row>
    <row r="60" spans="1:13" ht="27" customHeight="1" thickBot="1" x14ac:dyDescent="0.25">
      <c r="A60" s="68" t="s">
        <v>1145</v>
      </c>
      <c r="B60" s="68">
        <v>422</v>
      </c>
      <c r="C60" s="60"/>
      <c r="D60" s="69" t="s">
        <v>218</v>
      </c>
      <c r="E60" s="70">
        <v>211</v>
      </c>
      <c r="F60" s="60"/>
      <c r="G60" s="52" t="s">
        <v>86</v>
      </c>
      <c r="H60" s="73" t="s">
        <v>242</v>
      </c>
      <c r="I60" s="65"/>
      <c r="J60" s="80" t="s">
        <v>1375</v>
      </c>
      <c r="K60" s="80"/>
      <c r="L60" s="80" t="s">
        <v>1416</v>
      </c>
      <c r="M60" s="1" t="s">
        <v>1351</v>
      </c>
    </row>
    <row r="61" spans="1:13" ht="36" customHeight="1" thickBot="1" x14ac:dyDescent="0.25">
      <c r="A61" s="68" t="s">
        <v>1260</v>
      </c>
      <c r="B61" s="68">
        <v>424</v>
      </c>
      <c r="C61" s="60"/>
      <c r="D61" s="69" t="s">
        <v>219</v>
      </c>
      <c r="E61" s="70">
        <v>213</v>
      </c>
      <c r="F61" s="60"/>
      <c r="G61" s="52" t="s">
        <v>1000</v>
      </c>
      <c r="H61" s="73" t="s">
        <v>244</v>
      </c>
      <c r="I61" s="65"/>
      <c r="J61" s="80" t="s">
        <v>1376</v>
      </c>
      <c r="K61" s="80"/>
      <c r="L61" s="80" t="s">
        <v>1417</v>
      </c>
      <c r="M61" s="1" t="s">
        <v>1353</v>
      </c>
    </row>
    <row r="62" spans="1:13" ht="24.75" customHeight="1" thickBot="1" x14ac:dyDescent="0.25">
      <c r="A62" s="68" t="s">
        <v>231</v>
      </c>
      <c r="B62" s="68">
        <v>430</v>
      </c>
      <c r="C62" s="60"/>
      <c r="D62" s="69" t="s">
        <v>1155</v>
      </c>
      <c r="E62" s="70">
        <v>215</v>
      </c>
      <c r="F62" s="60"/>
      <c r="G62" s="52" t="s">
        <v>997</v>
      </c>
      <c r="H62" s="73" t="s">
        <v>998</v>
      </c>
      <c r="I62" s="65"/>
      <c r="J62" s="80" t="s">
        <v>1377</v>
      </c>
      <c r="K62" s="80"/>
      <c r="L62" s="80" t="s">
        <v>1418</v>
      </c>
      <c r="M62" s="1" t="s">
        <v>1355</v>
      </c>
    </row>
    <row r="63" spans="1:13" ht="37.15" customHeight="1" thickBot="1" x14ac:dyDescent="0.25">
      <c r="A63" s="68" t="s">
        <v>234</v>
      </c>
      <c r="B63" s="68">
        <v>431</v>
      </c>
      <c r="C63" s="60"/>
      <c r="D63" s="69" t="s">
        <v>178</v>
      </c>
      <c r="E63" s="70">
        <v>217</v>
      </c>
      <c r="F63" s="60"/>
      <c r="G63" s="52" t="s">
        <v>996</v>
      </c>
      <c r="H63" s="73" t="s">
        <v>999</v>
      </c>
      <c r="I63" s="65"/>
      <c r="J63" s="80" t="s">
        <v>1378</v>
      </c>
      <c r="K63" s="80"/>
      <c r="L63" s="80" t="s">
        <v>1419</v>
      </c>
      <c r="M63" s="1" t="s">
        <v>1357</v>
      </c>
    </row>
    <row r="64" spans="1:13" ht="30" customHeight="1" thickBot="1" x14ac:dyDescent="0.25">
      <c r="A64" s="68" t="s">
        <v>237</v>
      </c>
      <c r="B64" s="68">
        <v>432</v>
      </c>
      <c r="C64" s="60"/>
      <c r="D64" s="69" t="s">
        <v>1156</v>
      </c>
      <c r="E64" s="70">
        <v>218</v>
      </c>
      <c r="F64" s="60"/>
      <c r="G64" s="52" t="s">
        <v>87</v>
      </c>
      <c r="H64" s="73" t="s">
        <v>245</v>
      </c>
      <c r="I64" s="65"/>
      <c r="J64" s="80" t="s">
        <v>1379</v>
      </c>
      <c r="K64" s="80"/>
      <c r="L64" s="80" t="s">
        <v>1420</v>
      </c>
      <c r="M64" s="1" t="s">
        <v>1359</v>
      </c>
    </row>
    <row r="65" spans="1:13" ht="30" customHeight="1" thickBot="1" x14ac:dyDescent="0.25">
      <c r="A65" s="68" t="s">
        <v>239</v>
      </c>
      <c r="B65" s="68">
        <v>433</v>
      </c>
      <c r="C65" s="60"/>
      <c r="D65" s="69" t="s">
        <v>1194</v>
      </c>
      <c r="E65" s="70">
        <v>220</v>
      </c>
      <c r="F65" s="60"/>
      <c r="G65" s="52" t="s">
        <v>1162</v>
      </c>
      <c r="H65" s="73" t="s">
        <v>251</v>
      </c>
      <c r="I65" s="65"/>
      <c r="J65" s="80" t="s">
        <v>1379</v>
      </c>
      <c r="K65" s="80"/>
      <c r="L65" s="80" t="s">
        <v>1420</v>
      </c>
      <c r="M65" s="1" t="s">
        <v>1360</v>
      </c>
    </row>
    <row r="66" spans="1:13" ht="24.75" customHeight="1" thickBot="1" x14ac:dyDescent="0.25">
      <c r="A66" s="68" t="s">
        <v>241</v>
      </c>
      <c r="B66" s="68">
        <v>434</v>
      </c>
      <c r="C66" s="60"/>
      <c r="D66" s="69" t="s">
        <v>220</v>
      </c>
      <c r="E66" s="70">
        <v>221</v>
      </c>
      <c r="F66" s="60"/>
      <c r="G66" s="52" t="s">
        <v>1163</v>
      </c>
      <c r="H66" s="73" t="s">
        <v>252</v>
      </c>
      <c r="I66" s="65"/>
      <c r="J66" s="80" t="s">
        <v>1379</v>
      </c>
      <c r="K66" s="80"/>
      <c r="L66" s="80" t="s">
        <v>1420</v>
      </c>
      <c r="M66" s="1" t="s">
        <v>1360</v>
      </c>
    </row>
    <row r="67" spans="1:13" ht="24.75" customHeight="1" thickBot="1" x14ac:dyDescent="0.25">
      <c r="A67" s="68" t="s">
        <v>243</v>
      </c>
      <c r="B67" s="68">
        <v>435</v>
      </c>
      <c r="C67" s="60"/>
      <c r="D67" s="69" t="s">
        <v>221</v>
      </c>
      <c r="E67" s="70">
        <v>222</v>
      </c>
      <c r="F67" s="60"/>
      <c r="G67" s="52" t="s">
        <v>89</v>
      </c>
      <c r="H67" s="73" t="s">
        <v>253</v>
      </c>
      <c r="I67" s="65"/>
      <c r="J67" s="80" t="s">
        <v>1425</v>
      </c>
      <c r="K67" s="80"/>
      <c r="L67" s="80" t="s">
        <v>1421</v>
      </c>
      <c r="M67" s="1" t="s">
        <v>1360</v>
      </c>
    </row>
    <row r="68" spans="1:13" ht="33.6" customHeight="1" thickBot="1" x14ac:dyDescent="0.25">
      <c r="A68" s="68" t="s">
        <v>163</v>
      </c>
      <c r="B68" s="68">
        <v>450</v>
      </c>
      <c r="C68" s="60"/>
      <c r="D68" s="69" t="s">
        <v>222</v>
      </c>
      <c r="E68" s="70">
        <v>223</v>
      </c>
      <c r="F68" s="60"/>
      <c r="G68" s="52" t="s">
        <v>1164</v>
      </c>
      <c r="H68" s="73" t="s">
        <v>254</v>
      </c>
      <c r="I68" s="65"/>
      <c r="J68" s="80" t="s">
        <v>1426</v>
      </c>
      <c r="K68" s="80"/>
      <c r="L68" s="80" t="s">
        <v>1422</v>
      </c>
      <c r="M68" s="1" t="s">
        <v>1433</v>
      </c>
    </row>
    <row r="69" spans="1:13" ht="24.75" customHeight="1" thickBot="1" x14ac:dyDescent="0.25">
      <c r="A69" s="68" t="s">
        <v>77</v>
      </c>
      <c r="B69" s="68">
        <v>460</v>
      </c>
      <c r="C69" s="60"/>
      <c r="D69" s="69" t="s">
        <v>973</v>
      </c>
      <c r="E69" s="70">
        <v>224</v>
      </c>
      <c r="F69" s="60"/>
      <c r="G69" s="52" t="s">
        <v>1165</v>
      </c>
      <c r="H69" s="73" t="s">
        <v>255</v>
      </c>
      <c r="I69" s="65"/>
      <c r="J69" s="80" t="s">
        <v>1429</v>
      </c>
      <c r="K69" s="80"/>
      <c r="L69" s="80" t="s">
        <v>1423</v>
      </c>
      <c r="M69" s="1" t="s">
        <v>1434</v>
      </c>
    </row>
    <row r="70" spans="1:13" ht="24.75" customHeight="1" thickBot="1" x14ac:dyDescent="0.25">
      <c r="A70" s="68" t="s">
        <v>119</v>
      </c>
      <c r="B70" s="68">
        <v>461</v>
      </c>
      <c r="C70" s="60"/>
      <c r="D70" s="69" t="s">
        <v>936</v>
      </c>
      <c r="E70" s="70">
        <v>281</v>
      </c>
      <c r="F70" s="60"/>
      <c r="G70" s="52" t="s">
        <v>45</v>
      </c>
      <c r="H70" s="73" t="s">
        <v>256</v>
      </c>
      <c r="I70" s="65"/>
      <c r="J70" s="80" t="s">
        <v>1430</v>
      </c>
      <c r="K70" s="80"/>
      <c r="L70" s="80" t="s">
        <v>1424</v>
      </c>
      <c r="M70" s="1" t="s">
        <v>1435</v>
      </c>
    </row>
    <row r="71" spans="1:13" ht="24.75" customHeight="1" thickBot="1" x14ac:dyDescent="0.25">
      <c r="A71" s="68" t="s">
        <v>70</v>
      </c>
      <c r="B71" s="68">
        <v>462</v>
      </c>
      <c r="C71" s="60"/>
      <c r="D71" s="69" t="s">
        <v>141</v>
      </c>
      <c r="E71" s="70">
        <v>291</v>
      </c>
      <c r="F71" s="60"/>
      <c r="G71" s="52" t="s">
        <v>185</v>
      </c>
      <c r="H71" s="73" t="s">
        <v>258</v>
      </c>
      <c r="I71" s="65"/>
      <c r="M71" s="1" t="s">
        <v>1436</v>
      </c>
    </row>
    <row r="72" spans="1:13" ht="21" customHeight="1" thickBot="1" x14ac:dyDescent="0.25">
      <c r="A72" s="68" t="s">
        <v>950</v>
      </c>
      <c r="B72" s="68">
        <v>463</v>
      </c>
      <c r="C72" s="60"/>
      <c r="D72" s="69" t="s">
        <v>143</v>
      </c>
      <c r="E72" s="70">
        <v>293</v>
      </c>
      <c r="F72" s="60"/>
      <c r="G72" s="52" t="s">
        <v>1139</v>
      </c>
      <c r="H72" s="73" t="s">
        <v>259</v>
      </c>
      <c r="I72" s="65"/>
    </row>
    <row r="73" spans="1:13" ht="24.75" customHeight="1" thickBot="1" x14ac:dyDescent="0.25">
      <c r="A73" s="68" t="s">
        <v>1261</v>
      </c>
      <c r="B73" s="68">
        <v>464</v>
      </c>
      <c r="C73" s="60"/>
      <c r="D73" s="69" t="s">
        <v>1021</v>
      </c>
      <c r="E73" s="70">
        <v>295</v>
      </c>
      <c r="F73" s="60"/>
      <c r="G73" s="52" t="s">
        <v>1140</v>
      </c>
      <c r="H73" s="73" t="s">
        <v>157</v>
      </c>
      <c r="I73" s="65"/>
    </row>
    <row r="74" spans="1:13" ht="24.75" customHeight="1" thickBot="1" x14ac:dyDescent="0.25">
      <c r="A74" s="68" t="s">
        <v>113</v>
      </c>
      <c r="B74" s="68">
        <v>480</v>
      </c>
      <c r="C74" s="60"/>
      <c r="D74" s="69" t="s">
        <v>1159</v>
      </c>
      <c r="E74" s="70">
        <v>297</v>
      </c>
      <c r="F74" s="60"/>
      <c r="G74" s="52" t="s">
        <v>1141</v>
      </c>
      <c r="H74" s="73" t="s">
        <v>260</v>
      </c>
      <c r="I74" s="65"/>
    </row>
    <row r="75" spans="1:13" ht="24.75" customHeight="1" thickBot="1" x14ac:dyDescent="0.25">
      <c r="A75" s="68" t="s">
        <v>115</v>
      </c>
      <c r="B75" s="68">
        <v>481</v>
      </c>
      <c r="C75" s="65"/>
      <c r="D75" s="69" t="s">
        <v>1157</v>
      </c>
      <c r="E75" s="70">
        <v>299</v>
      </c>
      <c r="F75" s="89"/>
      <c r="G75" s="52" t="s">
        <v>1142</v>
      </c>
      <c r="H75" s="73" t="s">
        <v>261</v>
      </c>
      <c r="I75" s="65"/>
    </row>
    <row r="76" spans="1:13" ht="24.75" customHeight="1" thickBot="1" x14ac:dyDescent="0.25">
      <c r="A76" s="68" t="s">
        <v>1341</v>
      </c>
      <c r="B76" s="68">
        <v>482</v>
      </c>
      <c r="C76" s="65"/>
      <c r="D76" s="69" t="s">
        <v>1158</v>
      </c>
      <c r="E76" s="70">
        <v>298</v>
      </c>
      <c r="F76" s="89"/>
      <c r="G76" s="52" t="s">
        <v>41</v>
      </c>
      <c r="H76" s="73" t="s">
        <v>263</v>
      </c>
      <c r="I76" s="65"/>
    </row>
    <row r="77" spans="1:13" ht="24.75" customHeight="1" thickBot="1" x14ac:dyDescent="0.25">
      <c r="A77" s="68" t="s">
        <v>1380</v>
      </c>
      <c r="B77" s="68">
        <v>470</v>
      </c>
      <c r="C77" s="65"/>
      <c r="D77" s="69" t="s">
        <v>3</v>
      </c>
      <c r="E77" s="70">
        <v>301</v>
      </c>
      <c r="F77" s="89"/>
      <c r="G77" s="52" t="s">
        <v>190</v>
      </c>
      <c r="H77" s="73" t="s">
        <v>832</v>
      </c>
      <c r="I77" s="65"/>
    </row>
    <row r="78" spans="1:13" ht="24.75" customHeight="1" thickBot="1" x14ac:dyDescent="0.25">
      <c r="A78" s="68" t="s">
        <v>1381</v>
      </c>
      <c r="B78" s="68">
        <v>471</v>
      </c>
      <c r="C78" s="65"/>
      <c r="D78" s="69" t="s">
        <v>692</v>
      </c>
      <c r="E78" s="70">
        <v>401</v>
      </c>
      <c r="F78" s="89"/>
      <c r="G78" s="52" t="s">
        <v>40</v>
      </c>
      <c r="H78" s="73" t="s">
        <v>159</v>
      </c>
      <c r="I78" s="65"/>
    </row>
    <row r="79" spans="1:13" ht="24.75" customHeight="1" thickBot="1" x14ac:dyDescent="0.25">
      <c r="A79" s="68" t="s">
        <v>9</v>
      </c>
      <c r="B79" s="68">
        <v>500</v>
      </c>
      <c r="C79" s="65"/>
      <c r="D79" s="69" t="s">
        <v>96</v>
      </c>
      <c r="E79" s="70">
        <v>402</v>
      </c>
      <c r="F79" s="89"/>
      <c r="G79" s="52" t="s">
        <v>90</v>
      </c>
      <c r="H79" s="73" t="s">
        <v>265</v>
      </c>
      <c r="I79" s="65"/>
    </row>
    <row r="80" spans="1:13" ht="24.75" customHeight="1" thickBot="1" x14ac:dyDescent="0.25">
      <c r="A80" s="68" t="s">
        <v>147</v>
      </c>
      <c r="B80" s="68">
        <v>520</v>
      </c>
      <c r="C80" s="65"/>
      <c r="D80" s="69" t="s">
        <v>1110</v>
      </c>
      <c r="E80" s="70">
        <v>403</v>
      </c>
      <c r="F80" s="89"/>
      <c r="G80" s="52" t="s">
        <v>92</v>
      </c>
      <c r="H80" s="73" t="s">
        <v>266</v>
      </c>
      <c r="I80" s="65"/>
    </row>
    <row r="81" spans="1:9" ht="24.75" customHeight="1" thickBot="1" x14ac:dyDescent="0.25">
      <c r="A81" s="68" t="s">
        <v>148</v>
      </c>
      <c r="B81" s="68">
        <v>521</v>
      </c>
      <c r="C81" s="65"/>
      <c r="D81" s="69" t="s">
        <v>1081</v>
      </c>
      <c r="E81" s="70">
        <v>404</v>
      </c>
      <c r="F81" s="89"/>
      <c r="G81" s="52" t="s">
        <v>91</v>
      </c>
      <c r="H81" s="73" t="s">
        <v>267</v>
      </c>
      <c r="I81" s="65"/>
    </row>
    <row r="82" spans="1:9" ht="24.75" customHeight="1" thickBot="1" x14ac:dyDescent="0.25">
      <c r="A82" s="68" t="s">
        <v>586</v>
      </c>
      <c r="B82" s="68">
        <v>540</v>
      </c>
      <c r="C82" s="90"/>
      <c r="D82" s="69" t="s">
        <v>1111</v>
      </c>
      <c r="E82" s="70">
        <v>405</v>
      </c>
      <c r="F82" s="89"/>
      <c r="G82" s="52" t="s">
        <v>93</v>
      </c>
      <c r="H82" s="73" t="s">
        <v>268</v>
      </c>
      <c r="I82" s="65"/>
    </row>
    <row r="83" spans="1:9" ht="24.75" customHeight="1" thickBot="1" x14ac:dyDescent="0.25">
      <c r="A83" s="91" t="s">
        <v>884</v>
      </c>
      <c r="B83" s="91">
        <v>545</v>
      </c>
      <c r="C83" s="90"/>
      <c r="D83" s="69" t="s">
        <v>1082</v>
      </c>
      <c r="E83" s="70">
        <v>406</v>
      </c>
      <c r="F83" s="89"/>
      <c r="G83" s="52" t="s">
        <v>269</v>
      </c>
      <c r="H83" s="73" t="s">
        <v>270</v>
      </c>
      <c r="I83" s="65"/>
    </row>
    <row r="84" spans="1:9" ht="24.75" customHeight="1" thickBot="1" x14ac:dyDescent="0.25">
      <c r="A84" s="68" t="s">
        <v>891</v>
      </c>
      <c r="B84" s="68">
        <v>550</v>
      </c>
      <c r="C84" s="90"/>
      <c r="D84" s="69" t="s">
        <v>1083</v>
      </c>
      <c r="E84" s="81">
        <v>407</v>
      </c>
      <c r="F84" s="89"/>
      <c r="G84" s="52" t="s">
        <v>1045</v>
      </c>
      <c r="H84" s="73" t="s">
        <v>1046</v>
      </c>
      <c r="I84" s="65"/>
    </row>
    <row r="85" spans="1:9" ht="24.75" customHeight="1" thickBot="1" x14ac:dyDescent="0.25">
      <c r="A85" s="68" t="s">
        <v>1008</v>
      </c>
      <c r="B85" s="68">
        <v>552</v>
      </c>
      <c r="C85" s="90"/>
      <c r="D85" s="69" t="s">
        <v>1084</v>
      </c>
      <c r="E85" s="81">
        <v>408</v>
      </c>
      <c r="F85" s="89"/>
      <c r="G85" s="52" t="s">
        <v>1222</v>
      </c>
      <c r="H85" s="73" t="s">
        <v>282</v>
      </c>
      <c r="I85" s="65"/>
    </row>
    <row r="86" spans="1:9" ht="24.75" customHeight="1" thickBot="1" x14ac:dyDescent="0.25">
      <c r="A86" s="68" t="s">
        <v>1185</v>
      </c>
      <c r="B86" s="68">
        <v>610</v>
      </c>
      <c r="C86" s="90"/>
      <c r="D86" s="69" t="s">
        <v>1112</v>
      </c>
      <c r="E86" s="70">
        <v>491</v>
      </c>
      <c r="F86" s="89"/>
      <c r="G86" s="52" t="s">
        <v>1223</v>
      </c>
      <c r="H86" s="73" t="s">
        <v>1224</v>
      </c>
      <c r="I86" s="65"/>
    </row>
    <row r="87" spans="1:9" ht="24.75" customHeight="1" thickBot="1" x14ac:dyDescent="0.25">
      <c r="A87" s="68" t="s">
        <v>1186</v>
      </c>
      <c r="B87" s="68">
        <v>612</v>
      </c>
      <c r="C87" s="90"/>
      <c r="D87" s="69" t="s">
        <v>186</v>
      </c>
      <c r="E87" s="70">
        <v>492</v>
      </c>
      <c r="F87" s="89"/>
      <c r="G87" s="88" t="s">
        <v>160</v>
      </c>
      <c r="H87" s="73" t="s">
        <v>272</v>
      </c>
      <c r="I87" s="65"/>
    </row>
    <row r="88" spans="1:9" ht="24.75" customHeight="1" thickBot="1" x14ac:dyDescent="0.25">
      <c r="A88" s="68" t="s">
        <v>257</v>
      </c>
      <c r="B88" s="68">
        <v>700</v>
      </c>
      <c r="C88" s="90"/>
      <c r="D88" s="69" t="s">
        <v>1113</v>
      </c>
      <c r="E88" s="70">
        <v>493</v>
      </c>
      <c r="F88" s="90"/>
      <c r="G88" s="52" t="s">
        <v>173</v>
      </c>
      <c r="H88" s="73" t="s">
        <v>273</v>
      </c>
      <c r="I88" s="90"/>
    </row>
    <row r="89" spans="1:9" ht="24.75" customHeight="1" thickBot="1" x14ac:dyDescent="0.25">
      <c r="A89" s="68" t="s">
        <v>1187</v>
      </c>
      <c r="B89" s="91">
        <v>750</v>
      </c>
      <c r="C89" s="90"/>
      <c r="D89" s="69" t="s">
        <v>1085</v>
      </c>
      <c r="E89" s="70">
        <v>494</v>
      </c>
      <c r="F89" s="90"/>
      <c r="G89" s="52" t="s">
        <v>182</v>
      </c>
      <c r="H89" s="73" t="s">
        <v>275</v>
      </c>
      <c r="I89" s="90"/>
    </row>
    <row r="90" spans="1:9" ht="24.75" customHeight="1" thickBot="1" x14ac:dyDescent="0.25">
      <c r="A90" s="68" t="s">
        <v>1212</v>
      </c>
      <c r="B90" s="91">
        <v>752</v>
      </c>
      <c r="C90" s="90"/>
      <c r="D90" s="69" t="s">
        <v>1114</v>
      </c>
      <c r="E90" s="70">
        <v>495</v>
      </c>
      <c r="F90" s="90"/>
      <c r="G90" s="52" t="s">
        <v>17</v>
      </c>
      <c r="H90" s="73" t="s">
        <v>276</v>
      </c>
      <c r="I90" s="90"/>
    </row>
    <row r="91" spans="1:9" ht="24.75" customHeight="1" thickBot="1" x14ac:dyDescent="0.25">
      <c r="A91" s="68" t="s">
        <v>1342</v>
      </c>
      <c r="B91" s="91" t="s">
        <v>1343</v>
      </c>
      <c r="C91" s="90"/>
      <c r="D91" s="69" t="s">
        <v>1086</v>
      </c>
      <c r="E91" s="70">
        <v>496</v>
      </c>
      <c r="F91" s="90"/>
      <c r="G91" s="52" t="s">
        <v>36</v>
      </c>
      <c r="H91" s="73" t="s">
        <v>277</v>
      </c>
      <c r="I91" s="90"/>
    </row>
    <row r="92" spans="1:9" ht="24.75" customHeight="1" thickBot="1" x14ac:dyDescent="0.25">
      <c r="A92" s="68" t="s">
        <v>1344</v>
      </c>
      <c r="B92" s="91" t="s">
        <v>1345</v>
      </c>
      <c r="C92" s="90"/>
      <c r="D92" s="69" t="s">
        <v>985</v>
      </c>
      <c r="E92" s="70">
        <v>411</v>
      </c>
      <c r="F92" s="90"/>
      <c r="G92" s="52" t="s">
        <v>181</v>
      </c>
      <c r="H92" s="73" t="s">
        <v>279</v>
      </c>
      <c r="I92" s="90"/>
    </row>
    <row r="93" spans="1:9" ht="24.75" customHeight="1" thickBot="1" x14ac:dyDescent="0.25">
      <c r="A93" s="68" t="s">
        <v>1346</v>
      </c>
      <c r="B93" s="91" t="s">
        <v>1347</v>
      </c>
      <c r="C93" s="90"/>
      <c r="D93" s="69" t="s">
        <v>1087</v>
      </c>
      <c r="E93" s="70">
        <v>413</v>
      </c>
      <c r="F93" s="90"/>
      <c r="G93" s="52" t="s">
        <v>59</v>
      </c>
      <c r="H93" s="73" t="s">
        <v>280</v>
      </c>
      <c r="I93" s="90"/>
    </row>
    <row r="94" spans="1:9" ht="24.75" customHeight="1" thickBot="1" x14ac:dyDescent="0.25">
      <c r="A94" s="68" t="s">
        <v>1348</v>
      </c>
      <c r="B94" s="91" t="s">
        <v>1349</v>
      </c>
      <c r="C94" s="90"/>
      <c r="D94" s="69" t="s">
        <v>1088</v>
      </c>
      <c r="E94" s="70">
        <v>415</v>
      </c>
      <c r="F94" s="90"/>
      <c r="G94" s="52" t="s">
        <v>1179</v>
      </c>
      <c r="H94" s="73" t="s">
        <v>1180</v>
      </c>
      <c r="I94" s="90"/>
    </row>
    <row r="95" spans="1:9" ht="24.75" customHeight="1" thickBot="1" x14ac:dyDescent="0.25">
      <c r="A95" s="68" t="s">
        <v>1350</v>
      </c>
      <c r="B95" s="91" t="s">
        <v>1351</v>
      </c>
      <c r="C95" s="90"/>
      <c r="D95" s="69" t="s">
        <v>250</v>
      </c>
      <c r="E95" s="70">
        <v>421</v>
      </c>
      <c r="F95" s="90"/>
      <c r="G95" s="52" t="s">
        <v>972</v>
      </c>
      <c r="H95" s="73" t="s">
        <v>284</v>
      </c>
      <c r="I95" s="90"/>
    </row>
    <row r="96" spans="1:9" ht="24.75" customHeight="1" thickBot="1" x14ac:dyDescent="0.25">
      <c r="A96" s="68" t="s">
        <v>1352</v>
      </c>
      <c r="B96" s="91" t="s">
        <v>1353</v>
      </c>
      <c r="C96" s="90"/>
      <c r="D96" s="69" t="s">
        <v>1089</v>
      </c>
      <c r="E96" s="70">
        <v>423</v>
      </c>
      <c r="F96" s="90"/>
      <c r="G96" s="52" t="s">
        <v>106</v>
      </c>
      <c r="H96" s="73" t="s">
        <v>286</v>
      </c>
      <c r="I96" s="90"/>
    </row>
    <row r="97" spans="1:9" ht="24.75" customHeight="1" thickBot="1" x14ac:dyDescent="0.25">
      <c r="A97" s="68" t="s">
        <v>1354</v>
      </c>
      <c r="B97" s="91" t="s">
        <v>1355</v>
      </c>
      <c r="C97" s="90"/>
      <c r="D97" s="69" t="s">
        <v>1090</v>
      </c>
      <c r="E97" s="70">
        <v>425</v>
      </c>
      <c r="F97" s="90"/>
      <c r="G97" s="52" t="s">
        <v>105</v>
      </c>
      <c r="H97" s="73" t="s">
        <v>288</v>
      </c>
      <c r="I97" s="90"/>
    </row>
    <row r="98" spans="1:9" ht="24.75" customHeight="1" thickBot="1" x14ac:dyDescent="0.25">
      <c r="A98" s="68" t="s">
        <v>1356</v>
      </c>
      <c r="B98" s="91" t="s">
        <v>1357</v>
      </c>
      <c r="C98" s="90"/>
      <c r="D98" s="69" t="s">
        <v>1051</v>
      </c>
      <c r="E98" s="70">
        <v>431</v>
      </c>
      <c r="F98" s="90"/>
      <c r="G98" s="52" t="s">
        <v>928</v>
      </c>
      <c r="H98" s="73" t="s">
        <v>929</v>
      </c>
      <c r="I98" s="90"/>
    </row>
    <row r="99" spans="1:9" ht="24.75" customHeight="1" thickBot="1" x14ac:dyDescent="0.25">
      <c r="A99" s="68" t="s">
        <v>1358</v>
      </c>
      <c r="B99" s="91" t="s">
        <v>1359</v>
      </c>
      <c r="C99" s="90"/>
      <c r="D99" s="69" t="s">
        <v>1052</v>
      </c>
      <c r="E99" s="70">
        <v>433</v>
      </c>
      <c r="F99" s="90"/>
      <c r="G99" s="52" t="s">
        <v>291</v>
      </c>
      <c r="H99" s="73" t="s">
        <v>292</v>
      </c>
      <c r="I99" s="90"/>
    </row>
    <row r="100" spans="1:9" ht="24.75" customHeight="1" thickBot="1" x14ac:dyDescent="0.25">
      <c r="A100" s="68" t="s">
        <v>1360</v>
      </c>
      <c r="B100" s="91" t="s">
        <v>1360</v>
      </c>
      <c r="C100" s="90"/>
      <c r="D100" s="69" t="s">
        <v>1053</v>
      </c>
      <c r="E100" s="70">
        <v>435</v>
      </c>
      <c r="F100" s="90"/>
      <c r="G100" s="52" t="s">
        <v>294</v>
      </c>
      <c r="H100" s="73" t="s">
        <v>295</v>
      </c>
      <c r="I100" s="90"/>
    </row>
    <row r="101" spans="1:9" ht="24.75" customHeight="1" thickBot="1" x14ac:dyDescent="0.25">
      <c r="A101" s="68" t="s">
        <v>1433</v>
      </c>
      <c r="B101" s="91" t="s">
        <v>1433</v>
      </c>
      <c r="C101" s="90"/>
      <c r="D101" s="69" t="s">
        <v>1091</v>
      </c>
      <c r="E101" s="70">
        <v>436</v>
      </c>
      <c r="F101" s="90"/>
      <c r="G101" s="52" t="s">
        <v>1133</v>
      </c>
      <c r="H101" s="73" t="s">
        <v>1135</v>
      </c>
      <c r="I101" s="90"/>
    </row>
    <row r="102" spans="1:9" ht="24.75" customHeight="1" thickBot="1" x14ac:dyDescent="0.25">
      <c r="A102" s="68" t="s">
        <v>1434</v>
      </c>
      <c r="B102" s="91" t="s">
        <v>1434</v>
      </c>
      <c r="C102" s="90"/>
      <c r="D102" s="69" t="s">
        <v>1092</v>
      </c>
      <c r="E102" s="70">
        <v>437</v>
      </c>
      <c r="F102" s="90"/>
      <c r="G102" s="52" t="s">
        <v>1134</v>
      </c>
      <c r="H102" s="73" t="s">
        <v>1136</v>
      </c>
      <c r="I102" s="90"/>
    </row>
    <row r="103" spans="1:9" ht="24.75" customHeight="1" thickBot="1" x14ac:dyDescent="0.25">
      <c r="A103" s="68" t="s">
        <v>1431</v>
      </c>
      <c r="B103" s="91" t="s">
        <v>1431</v>
      </c>
      <c r="C103" s="90"/>
      <c r="D103" s="69" t="s">
        <v>1043</v>
      </c>
      <c r="E103" s="70">
        <v>438</v>
      </c>
      <c r="F103" s="90"/>
      <c r="G103" s="52" t="s">
        <v>1166</v>
      </c>
      <c r="H103" s="73" t="s">
        <v>1047</v>
      </c>
      <c r="I103" s="90"/>
    </row>
    <row r="104" spans="1:9" ht="24.75" customHeight="1" thickBot="1" x14ac:dyDescent="0.25">
      <c r="A104" s="68" t="s">
        <v>1432</v>
      </c>
      <c r="B104" s="91" t="s">
        <v>1432</v>
      </c>
      <c r="C104" s="90"/>
      <c r="D104" s="69" t="s">
        <v>1176</v>
      </c>
      <c r="E104" s="70">
        <v>482</v>
      </c>
      <c r="F104" s="90"/>
      <c r="G104" s="52" t="s">
        <v>1167</v>
      </c>
      <c r="H104" s="73" t="s">
        <v>1105</v>
      </c>
      <c r="I104" s="90"/>
    </row>
    <row r="105" spans="1:9" ht="24.75" customHeight="1" thickBot="1" x14ac:dyDescent="0.25">
      <c r="A105" s="68" t="s">
        <v>1435</v>
      </c>
      <c r="B105" s="91" t="s">
        <v>1435</v>
      </c>
      <c r="C105" s="90"/>
      <c r="D105" s="69" t="s">
        <v>1177</v>
      </c>
      <c r="E105" s="70">
        <v>484</v>
      </c>
      <c r="F105" s="90"/>
      <c r="G105" s="52" t="s">
        <v>21</v>
      </c>
      <c r="H105" s="73" t="s">
        <v>297</v>
      </c>
      <c r="I105" s="90"/>
    </row>
    <row r="106" spans="1:9" ht="24.75" customHeight="1" thickBot="1" x14ac:dyDescent="0.25">
      <c r="A106" s="68" t="s">
        <v>1436</v>
      </c>
      <c r="B106" s="91" t="s">
        <v>1436</v>
      </c>
      <c r="C106" s="90"/>
      <c r="D106" s="69" t="s">
        <v>1178</v>
      </c>
      <c r="E106" s="70">
        <v>486</v>
      </c>
      <c r="F106" s="90"/>
      <c r="G106" s="52" t="s">
        <v>960</v>
      </c>
      <c r="H106" s="73" t="s">
        <v>1391</v>
      </c>
      <c r="I106" s="90"/>
    </row>
    <row r="107" spans="1:9" ht="24.75" customHeight="1" thickBot="1" x14ac:dyDescent="0.25">
      <c r="A107" s="68" t="s">
        <v>7</v>
      </c>
      <c r="B107" s="91"/>
      <c r="C107" s="90"/>
      <c r="D107" s="69" t="s">
        <v>930</v>
      </c>
      <c r="E107" s="70">
        <v>461</v>
      </c>
      <c r="F107" s="90"/>
      <c r="G107" s="52" t="s">
        <v>961</v>
      </c>
      <c r="H107" s="73" t="s">
        <v>1392</v>
      </c>
      <c r="I107" s="90"/>
    </row>
    <row r="108" spans="1:9" ht="24.75" customHeight="1" thickBot="1" x14ac:dyDescent="0.25">
      <c r="A108" s="91" t="s">
        <v>4</v>
      </c>
      <c r="B108" s="91"/>
      <c r="C108" s="90"/>
      <c r="D108" s="69" t="s">
        <v>931</v>
      </c>
      <c r="E108" s="70">
        <v>462</v>
      </c>
      <c r="F108" s="90"/>
      <c r="G108" s="52" t="s">
        <v>962</v>
      </c>
      <c r="H108" s="73" t="s">
        <v>1393</v>
      </c>
      <c r="I108" s="90"/>
    </row>
    <row r="109" spans="1:9" ht="24.75" customHeight="1" thickBot="1" x14ac:dyDescent="0.25">
      <c r="A109" s="89"/>
      <c r="B109" s="92"/>
      <c r="C109" s="90"/>
      <c r="D109" s="69" t="s">
        <v>932</v>
      </c>
      <c r="E109" s="70">
        <v>463</v>
      </c>
      <c r="F109" s="90"/>
      <c r="G109" s="52" t="s">
        <v>963</v>
      </c>
      <c r="H109" s="73" t="s">
        <v>1395</v>
      </c>
      <c r="I109" s="90"/>
    </row>
    <row r="110" spans="1:9" ht="24.75" customHeight="1" thickBot="1" x14ac:dyDescent="0.25">
      <c r="A110" s="89"/>
      <c r="B110" s="92"/>
      <c r="C110" s="90"/>
      <c r="D110" s="69" t="s">
        <v>831</v>
      </c>
      <c r="E110" s="70">
        <v>469</v>
      </c>
      <c r="F110" s="90"/>
      <c r="G110" s="52" t="s">
        <v>964</v>
      </c>
      <c r="H110" s="73" t="s">
        <v>1396</v>
      </c>
      <c r="I110" s="90"/>
    </row>
    <row r="111" spans="1:9" ht="24.75" customHeight="1" thickBot="1" x14ac:dyDescent="0.25">
      <c r="A111" s="89"/>
      <c r="B111" s="92"/>
      <c r="C111" s="90"/>
      <c r="D111" s="69" t="s">
        <v>166</v>
      </c>
      <c r="E111" s="70">
        <v>474</v>
      </c>
      <c r="F111" s="90"/>
      <c r="G111" s="52" t="s">
        <v>965</v>
      </c>
      <c r="H111" s="73" t="s">
        <v>1397</v>
      </c>
      <c r="I111" s="90"/>
    </row>
    <row r="112" spans="1:9" ht="24.75" customHeight="1" thickBot="1" x14ac:dyDescent="0.25">
      <c r="A112" s="89"/>
      <c r="B112" s="92"/>
      <c r="C112" s="90"/>
      <c r="D112" s="69" t="s">
        <v>1146</v>
      </c>
      <c r="E112" s="70">
        <v>477</v>
      </c>
      <c r="F112" s="90"/>
      <c r="G112" s="52" t="s">
        <v>1394</v>
      </c>
      <c r="H112" s="73" t="s">
        <v>1398</v>
      </c>
      <c r="I112" s="90"/>
    </row>
    <row r="113" spans="1:9" ht="24.75" customHeight="1" thickBot="1" x14ac:dyDescent="0.25">
      <c r="A113" s="89"/>
      <c r="B113" s="92"/>
      <c r="C113" s="90"/>
      <c r="D113" s="69" t="s">
        <v>1147</v>
      </c>
      <c r="E113" s="70">
        <v>471</v>
      </c>
      <c r="F113" s="90"/>
      <c r="G113" s="52" t="s">
        <v>298</v>
      </c>
      <c r="H113" s="73" t="s">
        <v>164</v>
      </c>
      <c r="I113" s="90"/>
    </row>
    <row r="114" spans="1:9" ht="24.75" customHeight="1" thickBot="1" x14ac:dyDescent="0.25">
      <c r="A114" s="89"/>
      <c r="B114" s="92"/>
      <c r="C114" s="90"/>
      <c r="D114" s="69" t="s">
        <v>262</v>
      </c>
      <c r="E114" s="70">
        <v>472</v>
      </c>
      <c r="F114" s="90"/>
      <c r="G114" s="52" t="s">
        <v>299</v>
      </c>
      <c r="H114" s="73" t="s">
        <v>165</v>
      </c>
      <c r="I114" s="90"/>
    </row>
    <row r="115" spans="1:9" ht="24.75" customHeight="1" thickBot="1" x14ac:dyDescent="0.25">
      <c r="A115" s="89"/>
      <c r="B115" s="92"/>
      <c r="C115" s="90"/>
      <c r="D115" s="69" t="s">
        <v>264</v>
      </c>
      <c r="E115" s="70">
        <v>473</v>
      </c>
      <c r="F115" s="90"/>
      <c r="G115" s="52" t="s">
        <v>830</v>
      </c>
      <c r="H115" s="73" t="s">
        <v>301</v>
      </c>
      <c r="I115" s="90"/>
    </row>
    <row r="116" spans="1:9" ht="24.75" customHeight="1" thickBot="1" x14ac:dyDescent="0.25">
      <c r="A116" s="89"/>
      <c r="B116" s="92"/>
      <c r="C116" s="90"/>
      <c r="D116" s="69" t="s">
        <v>968</v>
      </c>
      <c r="E116" s="70">
        <v>476</v>
      </c>
      <c r="F116" s="90"/>
      <c r="G116" s="52" t="s">
        <v>1169</v>
      </c>
      <c r="H116" s="73" t="s">
        <v>1172</v>
      </c>
      <c r="I116" s="90"/>
    </row>
    <row r="117" spans="1:9" ht="28.15" customHeight="1" thickBot="1" x14ac:dyDescent="0.25">
      <c r="A117" s="89"/>
      <c r="B117" s="92"/>
      <c r="C117" s="90"/>
      <c r="D117" s="69" t="s">
        <v>1044</v>
      </c>
      <c r="E117" s="70">
        <v>478</v>
      </c>
      <c r="F117" s="90"/>
      <c r="G117" s="52" t="s">
        <v>1170</v>
      </c>
      <c r="H117" s="73" t="s">
        <v>1173</v>
      </c>
      <c r="I117" s="90"/>
    </row>
    <row r="118" spans="1:9" ht="26.65" customHeight="1" thickBot="1" x14ac:dyDescent="0.25">
      <c r="A118" s="89"/>
      <c r="B118" s="92"/>
      <c r="C118" s="90"/>
      <c r="D118" s="69" t="s">
        <v>1327</v>
      </c>
      <c r="E118" s="70">
        <v>501</v>
      </c>
      <c r="F118" s="90"/>
      <c r="G118" s="52" t="s">
        <v>1171</v>
      </c>
      <c r="H118" s="73" t="s">
        <v>1174</v>
      </c>
      <c r="I118" s="90"/>
    </row>
    <row r="119" spans="1:9" ht="24.75" customHeight="1" thickBot="1" x14ac:dyDescent="0.25">
      <c r="A119" s="89"/>
      <c r="B119" s="92"/>
      <c r="C119" s="90"/>
      <c r="D119" s="69" t="s">
        <v>1400</v>
      </c>
      <c r="E119" s="70">
        <v>502</v>
      </c>
      <c r="F119" s="90"/>
      <c r="G119" s="52" t="s">
        <v>1168</v>
      </c>
      <c r="H119" s="73" t="s">
        <v>1182</v>
      </c>
      <c r="I119" s="90"/>
    </row>
    <row r="120" spans="1:9" ht="24.75" customHeight="1" thickBot="1" x14ac:dyDescent="0.25">
      <c r="A120" s="89"/>
      <c r="B120" s="92"/>
      <c r="C120" s="90"/>
      <c r="D120" s="69" t="s">
        <v>1401</v>
      </c>
      <c r="E120" s="70">
        <v>503</v>
      </c>
      <c r="F120" s="90"/>
      <c r="G120" s="52" t="s">
        <v>88</v>
      </c>
      <c r="H120" s="73" t="s">
        <v>302</v>
      </c>
      <c r="I120" s="90"/>
    </row>
    <row r="121" spans="1:9" ht="29.1" customHeight="1" thickBot="1" x14ac:dyDescent="0.25">
      <c r="A121" s="89"/>
      <c r="B121" s="92"/>
      <c r="C121" s="90"/>
      <c r="D121" s="69" t="s">
        <v>1328</v>
      </c>
      <c r="E121" s="70">
        <v>504</v>
      </c>
      <c r="F121" s="90"/>
      <c r="G121" s="52" t="s">
        <v>303</v>
      </c>
      <c r="H121" s="73" t="s">
        <v>304</v>
      </c>
      <c r="I121" s="90"/>
    </row>
    <row r="122" spans="1:9" ht="30" customHeight="1" thickBot="1" x14ac:dyDescent="0.25">
      <c r="A122" s="89"/>
      <c r="B122" s="92"/>
      <c r="C122" s="90"/>
      <c r="D122" s="69" t="s">
        <v>18</v>
      </c>
      <c r="E122" s="70">
        <v>521</v>
      </c>
      <c r="F122" s="90"/>
      <c r="G122" s="52" t="s">
        <v>305</v>
      </c>
      <c r="H122" s="73" t="s">
        <v>306</v>
      </c>
      <c r="I122" s="90"/>
    </row>
    <row r="123" spans="1:9" ht="23.25" customHeight="1" thickBot="1" x14ac:dyDescent="0.25">
      <c r="A123" s="89"/>
      <c r="B123" s="92"/>
      <c r="C123" s="90"/>
      <c r="D123" s="69" t="s">
        <v>990</v>
      </c>
      <c r="E123" s="70">
        <v>441</v>
      </c>
      <c r="F123" s="90"/>
      <c r="G123" s="93" t="s">
        <v>1225</v>
      </c>
      <c r="H123" s="94" t="s">
        <v>1228</v>
      </c>
      <c r="I123" s="90"/>
    </row>
    <row r="124" spans="1:9" ht="23.25" customHeight="1" thickBot="1" x14ac:dyDescent="0.25">
      <c r="A124" s="89"/>
      <c r="B124" s="92"/>
      <c r="C124" s="90"/>
      <c r="D124" s="69" t="s">
        <v>991</v>
      </c>
      <c r="E124" s="70">
        <v>442</v>
      </c>
      <c r="F124" s="90"/>
      <c r="G124" s="93" t="s">
        <v>1227</v>
      </c>
      <c r="H124" s="94" t="s">
        <v>1229</v>
      </c>
      <c r="I124" s="90"/>
    </row>
    <row r="125" spans="1:9" ht="23.25" customHeight="1" thickBot="1" x14ac:dyDescent="0.25">
      <c r="A125" s="89"/>
      <c r="B125" s="92"/>
      <c r="C125" s="90"/>
      <c r="D125" s="69" t="s">
        <v>169</v>
      </c>
      <c r="E125" s="70">
        <v>522</v>
      </c>
      <c r="F125" s="90"/>
      <c r="G125" s="93" t="s">
        <v>1226</v>
      </c>
      <c r="H125" s="94" t="s">
        <v>1230</v>
      </c>
      <c r="I125" s="90"/>
    </row>
    <row r="126" spans="1:9" ht="23.25" customHeight="1" thickBot="1" x14ac:dyDescent="0.25">
      <c r="A126" s="89"/>
      <c r="B126" s="92"/>
      <c r="C126" s="90"/>
      <c r="D126" s="69" t="s">
        <v>170</v>
      </c>
      <c r="E126" s="70">
        <v>541</v>
      </c>
      <c r="F126" s="90"/>
      <c r="G126" s="52" t="s">
        <v>191</v>
      </c>
      <c r="H126" s="73" t="s">
        <v>167</v>
      </c>
      <c r="I126" s="90"/>
    </row>
    <row r="127" spans="1:9" ht="25.5" customHeight="1" thickBot="1" x14ac:dyDescent="0.25">
      <c r="A127" s="89"/>
      <c r="B127" s="92"/>
      <c r="C127" s="90"/>
      <c r="D127" s="69" t="s">
        <v>171</v>
      </c>
      <c r="E127" s="70">
        <v>542</v>
      </c>
      <c r="F127" s="90"/>
      <c r="G127" s="93" t="s">
        <v>307</v>
      </c>
      <c r="H127" s="94" t="s">
        <v>168</v>
      </c>
      <c r="I127" s="90"/>
    </row>
    <row r="128" spans="1:9" ht="24.75" customHeight="1" thickBot="1" x14ac:dyDescent="0.25">
      <c r="A128" s="89"/>
      <c r="B128" s="92"/>
      <c r="C128" s="90"/>
      <c r="D128" s="95" t="s">
        <v>172</v>
      </c>
      <c r="E128" s="96">
        <v>543</v>
      </c>
      <c r="F128" s="90"/>
      <c r="G128" s="93" t="s">
        <v>978</v>
      </c>
      <c r="H128" s="94" t="s">
        <v>979</v>
      </c>
      <c r="I128" s="90"/>
    </row>
    <row r="129" spans="1:9" ht="24.6" customHeight="1" thickBot="1" x14ac:dyDescent="0.25">
      <c r="A129" s="89"/>
      <c r="B129" s="92"/>
      <c r="C129" s="90"/>
      <c r="D129" s="69" t="s">
        <v>12</v>
      </c>
      <c r="E129" s="96">
        <v>561</v>
      </c>
      <c r="F129" s="90"/>
      <c r="G129" s="52" t="s">
        <v>42</v>
      </c>
      <c r="H129" s="73" t="s">
        <v>980</v>
      </c>
      <c r="I129" s="90"/>
    </row>
    <row r="130" spans="1:9" ht="23.65" customHeight="1" thickBot="1" x14ac:dyDescent="0.25">
      <c r="A130" s="89"/>
      <c r="B130" s="92"/>
      <c r="C130" s="90"/>
      <c r="D130" s="95" t="s">
        <v>274</v>
      </c>
      <c r="E130" s="96">
        <v>563</v>
      </c>
      <c r="F130" s="90"/>
      <c r="G130" s="52" t="s">
        <v>101</v>
      </c>
      <c r="H130" s="73"/>
      <c r="I130" s="90"/>
    </row>
    <row r="131" spans="1:9" ht="30" customHeight="1" thickBot="1" x14ac:dyDescent="0.25">
      <c r="A131" s="89"/>
      <c r="B131" s="92"/>
      <c r="C131" s="90"/>
      <c r="D131" s="95" t="s">
        <v>1160</v>
      </c>
      <c r="E131" s="96">
        <v>901</v>
      </c>
      <c r="F131" s="90"/>
      <c r="G131" s="52" t="s">
        <v>1016</v>
      </c>
      <c r="H131" s="73" t="s">
        <v>995</v>
      </c>
      <c r="I131" s="90"/>
    </row>
    <row r="132" spans="1:9" ht="25.5" customHeight="1" thickBot="1" x14ac:dyDescent="0.25">
      <c r="A132" s="89"/>
      <c r="B132" s="92"/>
      <c r="C132" s="90"/>
      <c r="D132" s="95" t="s">
        <v>278</v>
      </c>
      <c r="E132" s="96">
        <v>910</v>
      </c>
      <c r="F132" s="89"/>
      <c r="G132" s="50" t="s">
        <v>107</v>
      </c>
      <c r="H132" s="77" t="s">
        <v>309</v>
      </c>
      <c r="I132" s="65"/>
    </row>
    <row r="133" spans="1:9" ht="23.1" customHeight="1" thickBot="1" x14ac:dyDescent="0.25">
      <c r="A133" s="89"/>
      <c r="B133" s="92"/>
      <c r="C133" s="90"/>
      <c r="D133" s="69" t="s">
        <v>1148</v>
      </c>
      <c r="E133" s="96">
        <v>915</v>
      </c>
      <c r="F133" s="89"/>
      <c r="G133" s="50" t="s">
        <v>1009</v>
      </c>
      <c r="H133" s="77" t="s">
        <v>310</v>
      </c>
      <c r="I133" s="65"/>
    </row>
    <row r="134" spans="1:9" ht="24.75" customHeight="1" thickBot="1" x14ac:dyDescent="0.25">
      <c r="A134" s="89"/>
      <c r="B134" s="92"/>
      <c r="C134" s="90"/>
      <c r="D134" s="69" t="s">
        <v>281</v>
      </c>
      <c r="E134" s="96">
        <v>920</v>
      </c>
      <c r="F134" s="89"/>
      <c r="G134" s="50" t="s">
        <v>1010</v>
      </c>
      <c r="H134" s="77" t="s">
        <v>311</v>
      </c>
      <c r="I134" s="65"/>
    </row>
    <row r="135" spans="1:9" ht="24.75" customHeight="1" thickBot="1" x14ac:dyDescent="0.25">
      <c r="A135" s="89"/>
      <c r="B135" s="92"/>
      <c r="C135" s="90"/>
      <c r="D135" s="69" t="s">
        <v>1126</v>
      </c>
      <c r="E135" s="96">
        <v>921</v>
      </c>
      <c r="F135" s="89"/>
      <c r="G135" s="50" t="s">
        <v>834</v>
      </c>
      <c r="H135" s="77" t="s">
        <v>835</v>
      </c>
      <c r="I135" s="65"/>
    </row>
    <row r="136" spans="1:9" ht="22.5" customHeight="1" thickBot="1" x14ac:dyDescent="0.25">
      <c r="A136" s="89"/>
      <c r="B136" s="97"/>
      <c r="C136" s="90"/>
      <c r="D136" s="69" t="s">
        <v>1127</v>
      </c>
      <c r="E136" s="96">
        <v>922</v>
      </c>
      <c r="F136" s="89"/>
      <c r="G136" s="50" t="s">
        <v>917</v>
      </c>
      <c r="H136" s="77" t="s">
        <v>916</v>
      </c>
      <c r="I136" s="65"/>
    </row>
    <row r="137" spans="1:9" ht="24.6" customHeight="1" thickBot="1" x14ac:dyDescent="0.25">
      <c r="A137" s="90"/>
      <c r="B137" s="90"/>
      <c r="C137" s="90"/>
      <c r="D137" s="69" t="s">
        <v>1123</v>
      </c>
      <c r="E137" s="96">
        <v>923</v>
      </c>
      <c r="F137" s="89"/>
      <c r="G137" s="50" t="s">
        <v>1054</v>
      </c>
      <c r="H137" s="98" t="s">
        <v>969</v>
      </c>
      <c r="I137" s="65"/>
    </row>
    <row r="138" spans="1:9" ht="24.75" customHeight="1" thickBot="1" x14ac:dyDescent="0.25">
      <c r="A138" s="90"/>
      <c r="B138" s="90"/>
      <c r="C138" s="90"/>
      <c r="D138" s="95" t="s">
        <v>283</v>
      </c>
      <c r="E138" s="96">
        <v>925</v>
      </c>
      <c r="F138" s="89"/>
      <c r="G138" s="50" t="s">
        <v>1439</v>
      </c>
      <c r="H138" s="99">
        <v>900108</v>
      </c>
      <c r="I138" s="65"/>
    </row>
    <row r="139" spans="1:9" ht="24.75" customHeight="1" thickBot="1" x14ac:dyDescent="0.25">
      <c r="A139" s="90"/>
      <c r="B139" s="90"/>
      <c r="C139" s="90"/>
      <c r="D139" s="69" t="s">
        <v>1128</v>
      </c>
      <c r="E139" s="70">
        <v>940</v>
      </c>
      <c r="F139" s="90"/>
      <c r="G139" s="50" t="s">
        <v>927</v>
      </c>
      <c r="H139" s="77" t="s">
        <v>951</v>
      </c>
      <c r="I139" s="90"/>
    </row>
    <row r="140" spans="1:9" ht="24.75" customHeight="1" thickBot="1" x14ac:dyDescent="0.25">
      <c r="A140" s="90"/>
      <c r="B140" s="90"/>
      <c r="C140" s="90"/>
      <c r="D140" s="69" t="s">
        <v>285</v>
      </c>
      <c r="E140" s="96">
        <v>611</v>
      </c>
      <c r="F140" s="90"/>
      <c r="G140" s="50" t="s">
        <v>1121</v>
      </c>
      <c r="H140" s="77" t="s">
        <v>317</v>
      </c>
      <c r="I140" s="90"/>
    </row>
    <row r="141" spans="1:9" ht="24.75" customHeight="1" thickBot="1" x14ac:dyDescent="0.25">
      <c r="A141" s="90"/>
      <c r="B141" s="90"/>
      <c r="C141" s="90"/>
      <c r="D141" s="69" t="s">
        <v>287</v>
      </c>
      <c r="E141" s="96">
        <v>612</v>
      </c>
      <c r="F141" s="90"/>
      <c r="G141" s="50" t="s">
        <v>1120</v>
      </c>
      <c r="H141" s="100" t="s">
        <v>1119</v>
      </c>
      <c r="I141" s="90"/>
    </row>
    <row r="142" spans="1:9" ht="24.75" customHeight="1" thickBot="1" x14ac:dyDescent="0.25">
      <c r="A142" s="90"/>
      <c r="B142" s="90"/>
      <c r="C142" s="90"/>
      <c r="D142" s="95" t="s">
        <v>289</v>
      </c>
      <c r="E142" s="96">
        <v>614</v>
      </c>
      <c r="F142" s="90"/>
      <c r="G142" s="50" t="s">
        <v>1017</v>
      </c>
      <c r="H142" s="77" t="s">
        <v>1018</v>
      </c>
      <c r="I142" s="90"/>
    </row>
    <row r="143" spans="1:9" ht="24.75" customHeight="1" thickBot="1" x14ac:dyDescent="0.25">
      <c r="A143" s="90"/>
      <c r="B143" s="90"/>
      <c r="C143" s="90"/>
      <c r="D143" s="95" t="s">
        <v>290</v>
      </c>
      <c r="E143" s="96">
        <v>621</v>
      </c>
      <c r="F143" s="90"/>
      <c r="G143" s="50" t="s">
        <v>10</v>
      </c>
      <c r="H143" s="77" t="s">
        <v>1019</v>
      </c>
      <c r="I143" s="90"/>
    </row>
    <row r="144" spans="1:9" ht="24.75" customHeight="1" thickBot="1" x14ac:dyDescent="0.25">
      <c r="A144" s="90"/>
      <c r="B144" s="90"/>
      <c r="C144" s="90"/>
      <c r="D144" s="95" t="s">
        <v>293</v>
      </c>
      <c r="E144" s="96">
        <v>622</v>
      </c>
      <c r="F144" s="90"/>
      <c r="G144" s="52" t="s">
        <v>188</v>
      </c>
      <c r="H144" s="100"/>
      <c r="I144" s="90"/>
    </row>
    <row r="145" spans="1:9" ht="24.75" customHeight="1" thickBot="1" x14ac:dyDescent="0.25">
      <c r="A145" s="90"/>
      <c r="B145" s="90"/>
      <c r="C145" s="90"/>
      <c r="D145" s="95" t="s">
        <v>296</v>
      </c>
      <c r="E145" s="96">
        <v>624</v>
      </c>
      <c r="F145" s="90"/>
      <c r="G145" s="88" t="s">
        <v>104</v>
      </c>
      <c r="H145" s="73"/>
      <c r="I145" s="90"/>
    </row>
    <row r="146" spans="1:9" ht="24.75" customHeight="1" thickBot="1" x14ac:dyDescent="0.25">
      <c r="A146" s="90"/>
      <c r="B146" s="90"/>
      <c r="C146" s="90"/>
      <c r="D146" s="95" t="s">
        <v>73</v>
      </c>
      <c r="E146" s="96">
        <v>641</v>
      </c>
      <c r="F146" s="90"/>
      <c r="G146" s="52" t="s">
        <v>318</v>
      </c>
      <c r="H146" s="73" t="s">
        <v>319</v>
      </c>
      <c r="I146" s="90"/>
    </row>
    <row r="147" spans="1:9" ht="24.75" customHeight="1" thickBot="1" x14ac:dyDescent="0.25">
      <c r="A147" s="90"/>
      <c r="B147" s="90"/>
      <c r="C147" s="90"/>
      <c r="D147" s="95" t="s">
        <v>174</v>
      </c>
      <c r="E147" s="96">
        <v>661</v>
      </c>
      <c r="F147" s="90"/>
      <c r="G147" s="52" t="s">
        <v>320</v>
      </c>
      <c r="H147" s="73" t="s">
        <v>321</v>
      </c>
      <c r="I147" s="90"/>
    </row>
    <row r="148" spans="1:9" ht="24.75" customHeight="1" thickBot="1" x14ac:dyDescent="0.25">
      <c r="A148" s="90"/>
      <c r="B148" s="90"/>
      <c r="C148" s="90"/>
      <c r="D148" s="95" t="s">
        <v>1161</v>
      </c>
      <c r="E148" s="96">
        <v>632</v>
      </c>
      <c r="F148" s="90"/>
      <c r="G148" s="52" t="s">
        <v>1129</v>
      </c>
      <c r="H148" s="73" t="s">
        <v>1130</v>
      </c>
      <c r="I148" s="90"/>
    </row>
    <row r="149" spans="1:9" ht="24.75" customHeight="1" thickBot="1" x14ac:dyDescent="0.25">
      <c r="A149" s="90"/>
      <c r="B149" s="90"/>
      <c r="C149" s="90"/>
      <c r="D149" s="95" t="s">
        <v>396</v>
      </c>
      <c r="E149" s="96">
        <v>631</v>
      </c>
      <c r="F149" s="90"/>
      <c r="G149" s="52" t="s">
        <v>1131</v>
      </c>
      <c r="H149" s="73" t="s">
        <v>1132</v>
      </c>
      <c r="I149" s="90"/>
    </row>
    <row r="150" spans="1:9" ht="24.75" customHeight="1" thickBot="1" x14ac:dyDescent="0.25">
      <c r="A150" s="90"/>
      <c r="B150" s="90"/>
      <c r="C150" s="90"/>
      <c r="D150" s="69" t="s">
        <v>1438</v>
      </c>
      <c r="E150" s="96">
        <v>650</v>
      </c>
      <c r="F150" s="90"/>
      <c r="G150" s="52" t="s">
        <v>1188</v>
      </c>
      <c r="H150" s="73" t="s">
        <v>1190</v>
      </c>
      <c r="I150" s="90"/>
    </row>
    <row r="151" spans="1:9" ht="24.75" customHeight="1" thickBot="1" x14ac:dyDescent="0.25">
      <c r="A151" s="90"/>
      <c r="B151" s="90"/>
      <c r="C151" s="90"/>
      <c r="D151" s="95" t="s">
        <v>300</v>
      </c>
      <c r="E151" s="96"/>
      <c r="F151" s="90"/>
      <c r="G151" s="52" t="s">
        <v>1189</v>
      </c>
      <c r="H151" s="73" t="s">
        <v>1191</v>
      </c>
      <c r="I151" s="90"/>
    </row>
    <row r="152" spans="1:9" ht="24.75" customHeight="1" thickBot="1" x14ac:dyDescent="0.25">
      <c r="A152" s="90"/>
      <c r="B152" s="90"/>
      <c r="C152" s="90"/>
      <c r="D152" s="101" t="s">
        <v>1399</v>
      </c>
      <c r="E152" s="102">
        <v>819</v>
      </c>
      <c r="F152" s="90"/>
      <c r="G152" s="52" t="s">
        <v>1361</v>
      </c>
      <c r="H152" s="73" t="s">
        <v>1382</v>
      </c>
      <c r="I152" s="90"/>
    </row>
    <row r="153" spans="1:9" ht="24.75" customHeight="1" thickBot="1" x14ac:dyDescent="0.25">
      <c r="A153" s="90"/>
      <c r="B153" s="90"/>
      <c r="C153" s="90"/>
      <c r="D153" s="101" t="s">
        <v>994</v>
      </c>
      <c r="E153" s="102">
        <v>828</v>
      </c>
      <c r="F153" s="90"/>
      <c r="G153" s="52" t="s">
        <v>1362</v>
      </c>
      <c r="H153" s="73" t="s">
        <v>1383</v>
      </c>
      <c r="I153" s="90"/>
    </row>
    <row r="154" spans="1:9" ht="24.75" customHeight="1" thickBot="1" x14ac:dyDescent="0.25">
      <c r="A154" s="90"/>
      <c r="B154" s="90"/>
      <c r="C154" s="90"/>
      <c r="D154" s="101" t="s">
        <v>1285</v>
      </c>
      <c r="E154" s="102">
        <v>351</v>
      </c>
      <c r="F154" s="90"/>
      <c r="G154" s="52" t="s">
        <v>1363</v>
      </c>
      <c r="H154" s="73" t="s">
        <v>1384</v>
      </c>
      <c r="I154" s="90"/>
    </row>
    <row r="155" spans="1:9" ht="24.75" customHeight="1" thickBot="1" x14ac:dyDescent="0.25">
      <c r="A155" s="90"/>
      <c r="B155" s="90"/>
      <c r="C155" s="90"/>
      <c r="D155" s="101" t="s">
        <v>1286</v>
      </c>
      <c r="E155" s="102">
        <v>352</v>
      </c>
      <c r="F155" s="90"/>
      <c r="G155" s="52" t="s">
        <v>1364</v>
      </c>
      <c r="H155" s="73" t="s">
        <v>1385</v>
      </c>
      <c r="I155" s="90"/>
    </row>
    <row r="156" spans="1:9" ht="24.75" customHeight="1" thickBot="1" x14ac:dyDescent="0.25">
      <c r="A156" s="90"/>
      <c r="B156" s="90"/>
      <c r="C156" s="90"/>
      <c r="D156" s="101" t="s">
        <v>1287</v>
      </c>
      <c r="E156" s="102">
        <v>353</v>
      </c>
      <c r="F156" s="90"/>
      <c r="G156" s="52" t="s">
        <v>1365</v>
      </c>
      <c r="H156" s="73" t="s">
        <v>1386</v>
      </c>
      <c r="I156" s="90"/>
    </row>
    <row r="157" spans="1:9" ht="24.75" customHeight="1" thickBot="1" x14ac:dyDescent="0.25">
      <c r="A157" s="90"/>
      <c r="B157" s="90"/>
      <c r="C157" s="90"/>
      <c r="D157" s="101" t="s">
        <v>1288</v>
      </c>
      <c r="E157" s="102">
        <v>354</v>
      </c>
      <c r="F157" s="90"/>
      <c r="G157" s="52" t="s">
        <v>1366</v>
      </c>
      <c r="H157" s="73" t="s">
        <v>1387</v>
      </c>
      <c r="I157" s="90"/>
    </row>
    <row r="158" spans="1:9" ht="24.75" customHeight="1" thickBot="1" x14ac:dyDescent="0.25">
      <c r="A158" s="90"/>
      <c r="B158" s="90"/>
      <c r="C158" s="90"/>
      <c r="D158" s="69" t="s">
        <v>1289</v>
      </c>
      <c r="E158" s="70">
        <v>371</v>
      </c>
      <c r="F158" s="90"/>
      <c r="G158" s="52" t="s">
        <v>1367</v>
      </c>
      <c r="H158" s="73" t="s">
        <v>1388</v>
      </c>
      <c r="I158" s="90"/>
    </row>
    <row r="159" spans="1:9" ht="24.75" customHeight="1" thickBot="1" x14ac:dyDescent="0.25">
      <c r="A159" s="90"/>
      <c r="B159" s="90"/>
      <c r="C159" s="90"/>
      <c r="D159" s="101" t="s">
        <v>1290</v>
      </c>
      <c r="E159" s="103">
        <v>372</v>
      </c>
      <c r="F159" s="90"/>
      <c r="G159" s="52" t="s">
        <v>1368</v>
      </c>
      <c r="H159" s="73" t="s">
        <v>1389</v>
      </c>
      <c r="I159" s="90"/>
    </row>
    <row r="160" spans="1:9" ht="24.75" customHeight="1" thickBot="1" x14ac:dyDescent="0.25">
      <c r="A160" s="90"/>
      <c r="B160" s="90"/>
      <c r="C160" s="90"/>
      <c r="D160" s="101" t="s">
        <v>1291</v>
      </c>
      <c r="E160" s="103">
        <v>373</v>
      </c>
      <c r="F160" s="90"/>
      <c r="G160" s="52" t="s">
        <v>1369</v>
      </c>
      <c r="H160" s="73" t="s">
        <v>1390</v>
      </c>
      <c r="I160" s="90"/>
    </row>
    <row r="161" spans="1:9" ht="24.75" customHeight="1" thickBot="1" x14ac:dyDescent="0.25">
      <c r="A161" s="90"/>
      <c r="B161" s="90"/>
      <c r="C161" s="90"/>
      <c r="D161" s="101" t="s">
        <v>1292</v>
      </c>
      <c r="E161" s="103">
        <v>374</v>
      </c>
      <c r="F161" s="90"/>
      <c r="G161" s="52" t="s">
        <v>866</v>
      </c>
      <c r="H161" s="73" t="s">
        <v>872</v>
      </c>
      <c r="I161" s="90"/>
    </row>
    <row r="162" spans="1:9" ht="24.75" customHeight="1" thickBot="1" x14ac:dyDescent="0.25">
      <c r="A162" s="90"/>
      <c r="B162" s="90"/>
      <c r="C162" s="90"/>
      <c r="D162" s="101" t="s">
        <v>1293</v>
      </c>
      <c r="E162" s="103">
        <v>381</v>
      </c>
      <c r="F162" s="90"/>
      <c r="G162" s="52" t="s">
        <v>867</v>
      </c>
      <c r="H162" s="73" t="s">
        <v>873</v>
      </c>
      <c r="I162" s="90"/>
    </row>
    <row r="163" spans="1:9" ht="24.75" customHeight="1" thickBot="1" x14ac:dyDescent="0.25">
      <c r="A163" s="90"/>
      <c r="B163" s="90"/>
      <c r="C163" s="90"/>
      <c r="D163" s="101" t="s">
        <v>1294</v>
      </c>
      <c r="E163" s="103">
        <v>382</v>
      </c>
      <c r="F163" s="90"/>
      <c r="G163" s="52" t="s">
        <v>868</v>
      </c>
      <c r="H163" s="73" t="s">
        <v>874</v>
      </c>
      <c r="I163" s="90"/>
    </row>
    <row r="164" spans="1:9" ht="24.75" customHeight="1" thickBot="1" x14ac:dyDescent="0.25">
      <c r="A164" s="90"/>
      <c r="B164" s="90"/>
      <c r="C164" s="90"/>
      <c r="D164" s="101" t="s">
        <v>1295</v>
      </c>
      <c r="E164" s="103">
        <v>383</v>
      </c>
      <c r="F164" s="90"/>
      <c r="G164" s="52" t="s">
        <v>869</v>
      </c>
      <c r="H164" s="73" t="s">
        <v>875</v>
      </c>
    </row>
    <row r="165" spans="1:9" ht="24.75" customHeight="1" thickBot="1" x14ac:dyDescent="0.25">
      <c r="A165" s="90"/>
      <c r="B165" s="90"/>
      <c r="C165" s="90"/>
      <c r="D165" s="101" t="s">
        <v>1296</v>
      </c>
      <c r="E165" s="103">
        <v>384</v>
      </c>
      <c r="F165" s="90"/>
      <c r="G165" s="52" t="s">
        <v>870</v>
      </c>
      <c r="H165" s="73" t="s">
        <v>876</v>
      </c>
    </row>
    <row r="166" spans="1:9" ht="24.75" customHeight="1" thickBot="1" x14ac:dyDescent="0.25">
      <c r="A166" s="90"/>
      <c r="B166" s="90"/>
      <c r="C166" s="90"/>
      <c r="D166" s="101" t="s">
        <v>1297</v>
      </c>
      <c r="E166" s="103">
        <v>311</v>
      </c>
      <c r="F166" s="90"/>
      <c r="G166" s="52" t="s">
        <v>871</v>
      </c>
      <c r="H166" s="73" t="s">
        <v>877</v>
      </c>
    </row>
    <row r="167" spans="1:9" ht="24.75" customHeight="1" thickBot="1" x14ac:dyDescent="0.25">
      <c r="A167" s="90"/>
      <c r="B167" s="90"/>
      <c r="C167" s="90"/>
      <c r="D167" s="101" t="s">
        <v>1298</v>
      </c>
      <c r="E167" s="103">
        <v>312</v>
      </c>
      <c r="F167" s="90"/>
      <c r="G167" s="52" t="s">
        <v>881</v>
      </c>
      <c r="H167" s="73" t="s">
        <v>882</v>
      </c>
      <c r="I167" s="90"/>
    </row>
    <row r="168" spans="1:9" ht="24.75" customHeight="1" thickBot="1" x14ac:dyDescent="0.25">
      <c r="A168" s="90"/>
      <c r="B168" s="90"/>
      <c r="C168" s="90"/>
      <c r="D168" s="101" t="s">
        <v>1299</v>
      </c>
      <c r="E168" s="103">
        <v>313</v>
      </c>
      <c r="F168" s="90"/>
      <c r="G168" s="52" t="s">
        <v>1338</v>
      </c>
      <c r="H168" s="73" t="s">
        <v>1339</v>
      </c>
      <c r="I168" s="90"/>
    </row>
    <row r="169" spans="1:9" ht="24.75" customHeight="1" thickBot="1" x14ac:dyDescent="0.25">
      <c r="A169" s="90"/>
      <c r="B169" s="90"/>
      <c r="C169" s="90"/>
      <c r="D169" s="101" t="s">
        <v>1300</v>
      </c>
      <c r="E169" s="103">
        <v>314</v>
      </c>
      <c r="F169" s="90"/>
      <c r="G169" s="104"/>
      <c r="H169" s="97"/>
      <c r="I169" s="90"/>
    </row>
    <row r="170" spans="1:9" ht="24.75" customHeight="1" thickBot="1" x14ac:dyDescent="0.25">
      <c r="A170" s="90"/>
      <c r="B170" s="90"/>
      <c r="C170" s="90"/>
      <c r="D170" s="101" t="s">
        <v>1301</v>
      </c>
      <c r="E170" s="103">
        <v>341</v>
      </c>
      <c r="F170" s="90"/>
      <c r="G170" s="105"/>
      <c r="H170" s="90"/>
      <c r="I170" s="90"/>
    </row>
    <row r="171" spans="1:9" ht="24.75" customHeight="1" thickBot="1" x14ac:dyDescent="0.25">
      <c r="A171" s="90"/>
      <c r="B171" s="90"/>
      <c r="C171" s="90"/>
      <c r="D171" s="101" t="s">
        <v>1302</v>
      </c>
      <c r="E171" s="103">
        <v>342</v>
      </c>
      <c r="F171" s="90"/>
      <c r="G171" s="105"/>
      <c r="H171" s="90"/>
      <c r="I171" s="90"/>
    </row>
    <row r="172" spans="1:9" ht="24.75" customHeight="1" thickBot="1" x14ac:dyDescent="0.25">
      <c r="A172" s="90"/>
      <c r="B172" s="90"/>
      <c r="C172" s="90"/>
      <c r="D172" s="101" t="s">
        <v>1303</v>
      </c>
      <c r="E172" s="103">
        <v>343</v>
      </c>
      <c r="F172" s="90"/>
      <c r="G172" s="105"/>
      <c r="H172" s="90"/>
      <c r="I172" s="90"/>
    </row>
    <row r="173" spans="1:9" ht="24.75" customHeight="1" thickBot="1" x14ac:dyDescent="0.25">
      <c r="A173" s="90"/>
      <c r="B173" s="90"/>
      <c r="C173" s="90"/>
      <c r="D173" s="101" t="s">
        <v>1304</v>
      </c>
      <c r="E173" s="103">
        <v>344</v>
      </c>
      <c r="F173" s="90"/>
      <c r="G173" s="105"/>
      <c r="H173" s="90"/>
      <c r="I173" s="90"/>
    </row>
    <row r="174" spans="1:9" ht="24.75" customHeight="1" thickBot="1" x14ac:dyDescent="0.25">
      <c r="A174" s="90"/>
      <c r="B174" s="90"/>
      <c r="C174" s="90"/>
      <c r="D174" s="101" t="s">
        <v>1305</v>
      </c>
      <c r="E174" s="103">
        <v>331</v>
      </c>
      <c r="F174" s="90"/>
      <c r="G174" s="105"/>
      <c r="H174" s="90"/>
      <c r="I174" s="90"/>
    </row>
    <row r="175" spans="1:9" ht="24.75" customHeight="1" thickBot="1" x14ac:dyDescent="0.25">
      <c r="A175" s="90"/>
      <c r="B175" s="90"/>
      <c r="C175" s="90"/>
      <c r="D175" s="101" t="s">
        <v>1306</v>
      </c>
      <c r="E175" s="103">
        <v>332</v>
      </c>
      <c r="F175" s="90"/>
      <c r="G175" s="105"/>
      <c r="H175" s="90"/>
      <c r="I175" s="90"/>
    </row>
    <row r="176" spans="1:9" ht="24.75" customHeight="1" thickBot="1" x14ac:dyDescent="0.25">
      <c r="A176" s="90"/>
      <c r="B176" s="90"/>
      <c r="C176" s="90"/>
      <c r="D176" s="101" t="s">
        <v>1307</v>
      </c>
      <c r="E176" s="103">
        <v>333</v>
      </c>
      <c r="F176" s="90"/>
      <c r="G176" s="105"/>
      <c r="H176" s="90"/>
      <c r="I176" s="90"/>
    </row>
    <row r="177" spans="1:9" ht="24.75" customHeight="1" thickBot="1" x14ac:dyDescent="0.25">
      <c r="A177" s="90"/>
      <c r="B177" s="90"/>
      <c r="C177" s="90"/>
      <c r="D177" s="101" t="s">
        <v>1308</v>
      </c>
      <c r="E177" s="103">
        <v>334</v>
      </c>
      <c r="F177" s="90"/>
      <c r="G177" s="105"/>
      <c r="H177" s="90"/>
      <c r="I177" s="90"/>
    </row>
    <row r="178" spans="1:9" ht="24.75" customHeight="1" thickBot="1" x14ac:dyDescent="0.25">
      <c r="A178" s="90"/>
      <c r="B178" s="90"/>
      <c r="C178" s="90"/>
      <c r="D178" s="101" t="s">
        <v>1309</v>
      </c>
      <c r="E178" s="103">
        <v>321</v>
      </c>
      <c r="F178" s="90"/>
      <c r="G178" s="105"/>
      <c r="H178" s="90"/>
      <c r="I178" s="90"/>
    </row>
    <row r="179" spans="1:9" ht="24.75" customHeight="1" thickBot="1" x14ac:dyDescent="0.25">
      <c r="A179" s="90"/>
      <c r="B179" s="90"/>
      <c r="C179" s="90"/>
      <c r="D179" s="101" t="s">
        <v>1310</v>
      </c>
      <c r="E179" s="103">
        <v>322</v>
      </c>
      <c r="F179" s="90"/>
      <c r="G179" s="105"/>
      <c r="H179" s="90"/>
      <c r="I179" s="90"/>
    </row>
    <row r="180" spans="1:9" ht="24.75" customHeight="1" thickBot="1" x14ac:dyDescent="0.25">
      <c r="A180" s="90"/>
      <c r="B180" s="90"/>
      <c r="C180" s="90"/>
      <c r="D180" s="101" t="s">
        <v>1311</v>
      </c>
      <c r="E180" s="103">
        <v>323</v>
      </c>
      <c r="F180" s="90"/>
      <c r="G180" s="105"/>
      <c r="H180" s="90"/>
      <c r="I180" s="90"/>
    </row>
    <row r="181" spans="1:9" ht="24.75" customHeight="1" thickBot="1" x14ac:dyDescent="0.25">
      <c r="A181" s="90"/>
      <c r="B181" s="90"/>
      <c r="C181" s="90"/>
      <c r="D181" s="101" t="s">
        <v>1312</v>
      </c>
      <c r="E181" s="103">
        <v>324</v>
      </c>
      <c r="F181" s="90"/>
      <c r="G181" s="105"/>
      <c r="H181" s="90"/>
      <c r="I181" s="90"/>
    </row>
    <row r="182" spans="1:9" ht="24.75" customHeight="1" thickBot="1" x14ac:dyDescent="0.25">
      <c r="A182" s="90"/>
      <c r="B182" s="90"/>
      <c r="C182" s="90"/>
      <c r="D182" s="101" t="s">
        <v>1313</v>
      </c>
      <c r="E182" s="103">
        <v>361</v>
      </c>
      <c r="F182" s="90"/>
      <c r="G182" s="105"/>
      <c r="H182" s="90"/>
      <c r="I182" s="90"/>
    </row>
    <row r="183" spans="1:9" ht="24.75" customHeight="1" thickBot="1" x14ac:dyDescent="0.25">
      <c r="A183" s="90"/>
      <c r="B183" s="90"/>
      <c r="C183" s="90"/>
      <c r="D183" s="101" t="s">
        <v>1314</v>
      </c>
      <c r="E183" s="103">
        <v>362</v>
      </c>
      <c r="F183" s="90"/>
      <c r="G183" s="105"/>
      <c r="H183" s="90"/>
      <c r="I183" s="90"/>
    </row>
    <row r="184" spans="1:9" ht="24.75" customHeight="1" thickBot="1" x14ac:dyDescent="0.25">
      <c r="A184" s="90"/>
      <c r="B184" s="90"/>
      <c r="C184" s="90"/>
      <c r="D184" s="101" t="s">
        <v>1315</v>
      </c>
      <c r="E184" s="103">
        <v>391</v>
      </c>
      <c r="F184" s="90"/>
      <c r="G184" s="105"/>
      <c r="H184" s="90"/>
      <c r="I184" s="90"/>
    </row>
    <row r="185" spans="1:9" ht="24.75" customHeight="1" thickBot="1" x14ac:dyDescent="0.25">
      <c r="A185" s="90"/>
      <c r="B185" s="90"/>
      <c r="C185" s="90"/>
      <c r="D185" s="101" t="s">
        <v>1316</v>
      </c>
      <c r="E185" s="103">
        <v>392</v>
      </c>
      <c r="F185" s="90"/>
      <c r="G185" s="105"/>
      <c r="H185" s="90"/>
      <c r="I185" s="90"/>
    </row>
    <row r="186" spans="1:9" ht="24.75" customHeight="1" thickBot="1" x14ac:dyDescent="0.25">
      <c r="A186" s="90"/>
      <c r="B186" s="90"/>
      <c r="C186" s="90"/>
      <c r="D186" s="101" t="s">
        <v>1317</v>
      </c>
      <c r="E186" s="103">
        <v>363</v>
      </c>
      <c r="F186" s="90"/>
      <c r="G186" s="105"/>
      <c r="H186" s="90"/>
      <c r="I186" s="90"/>
    </row>
    <row r="187" spans="1:9" ht="24.75" customHeight="1" thickBot="1" x14ac:dyDescent="0.25">
      <c r="A187" s="90"/>
      <c r="B187" s="90"/>
      <c r="C187" s="90"/>
      <c r="D187" s="101" t="s">
        <v>1318</v>
      </c>
      <c r="E187" s="103">
        <v>364</v>
      </c>
      <c r="F187" s="90"/>
      <c r="G187" s="105"/>
      <c r="H187" s="90"/>
      <c r="I187" s="90"/>
    </row>
    <row r="188" spans="1:9" ht="24.75" customHeight="1" thickBot="1" x14ac:dyDescent="0.25">
      <c r="A188" s="90"/>
      <c r="B188" s="90"/>
      <c r="C188" s="90"/>
      <c r="D188" s="101" t="s">
        <v>1319</v>
      </c>
      <c r="E188" s="103">
        <v>393</v>
      </c>
      <c r="F188" s="90"/>
      <c r="G188" s="105"/>
      <c r="H188" s="90"/>
      <c r="I188" s="90"/>
    </row>
    <row r="189" spans="1:9" ht="24.75" customHeight="1" thickBot="1" x14ac:dyDescent="0.25">
      <c r="A189" s="90"/>
      <c r="B189" s="90"/>
      <c r="C189" s="90"/>
      <c r="D189" s="101" t="s">
        <v>1320</v>
      </c>
      <c r="E189" s="103">
        <v>394</v>
      </c>
      <c r="F189" s="90"/>
      <c r="G189" s="105"/>
      <c r="H189" s="90"/>
      <c r="I189" s="90"/>
    </row>
    <row r="190" spans="1:9" ht="24.75" customHeight="1" thickBot="1" x14ac:dyDescent="0.25">
      <c r="A190" s="90"/>
      <c r="B190" s="90"/>
      <c r="C190" s="90"/>
      <c r="D190" s="90"/>
      <c r="E190" s="105"/>
      <c r="F190" s="90"/>
      <c r="G190" s="105"/>
      <c r="H190" s="90"/>
      <c r="I190" s="90"/>
    </row>
    <row r="191" spans="1:9" ht="24.75" customHeight="1" thickBot="1" x14ac:dyDescent="0.25">
      <c r="A191" s="90"/>
      <c r="B191" s="90"/>
      <c r="C191" s="90"/>
      <c r="D191" s="90"/>
      <c r="E191" s="105"/>
      <c r="F191" s="90"/>
      <c r="G191" s="105"/>
      <c r="H191" s="90"/>
      <c r="I191" s="90"/>
    </row>
    <row r="192" spans="1:9" ht="24.75" customHeight="1" thickBot="1" x14ac:dyDescent="0.25">
      <c r="A192" s="90"/>
      <c r="B192" s="90"/>
      <c r="C192" s="90"/>
      <c r="D192" s="90"/>
      <c r="E192" s="105"/>
      <c r="F192" s="90"/>
      <c r="G192" s="105"/>
      <c r="H192" s="90"/>
      <c r="I192" s="90"/>
    </row>
    <row r="193" spans="1:9" ht="24.75" customHeight="1" thickBot="1" x14ac:dyDescent="0.25">
      <c r="A193" s="90"/>
      <c r="B193" s="90"/>
      <c r="C193" s="90"/>
      <c r="D193" s="90"/>
      <c r="E193" s="90"/>
      <c r="F193" s="90"/>
      <c r="G193" s="90"/>
      <c r="I193" s="90"/>
    </row>
    <row r="194" spans="1:9" ht="24.75" customHeight="1" thickBot="1" x14ac:dyDescent="0.25">
      <c r="A194" s="90"/>
      <c r="B194" s="90"/>
      <c r="C194" s="90"/>
      <c r="D194" s="90"/>
      <c r="E194" s="90"/>
      <c r="F194" s="90"/>
      <c r="G194" s="90"/>
      <c r="I194" s="90"/>
    </row>
    <row r="195" spans="1:9" ht="24.75" customHeight="1" thickBot="1" x14ac:dyDescent="0.25">
      <c r="A195" s="90"/>
      <c r="B195" s="90"/>
      <c r="C195" s="90"/>
      <c r="D195" s="90"/>
      <c r="E195" s="90"/>
      <c r="F195" s="90"/>
      <c r="G195" s="90"/>
      <c r="I195" s="90"/>
    </row>
    <row r="196" spans="1:9" ht="24.75" customHeight="1" thickBot="1" x14ac:dyDescent="0.25">
      <c r="A196" s="90"/>
      <c r="B196" s="90"/>
      <c r="C196" s="90"/>
      <c r="D196" s="90"/>
      <c r="E196" s="90"/>
      <c r="F196" s="90"/>
      <c r="G196" s="105"/>
      <c r="H196" s="90"/>
      <c r="I196" s="90"/>
    </row>
    <row r="197" spans="1:9" ht="24.75" customHeight="1" thickBot="1" x14ac:dyDescent="0.25">
      <c r="A197" s="90"/>
      <c r="B197" s="90"/>
      <c r="C197" s="90"/>
      <c r="D197" s="90"/>
      <c r="E197" s="90"/>
      <c r="F197" s="90"/>
      <c r="G197" s="105"/>
      <c r="H197" s="90"/>
      <c r="I197" s="90"/>
    </row>
    <row r="198" spans="1:9" ht="24.75" customHeight="1" thickBot="1" x14ac:dyDescent="0.25">
      <c r="A198" s="90"/>
      <c r="B198" s="90"/>
      <c r="C198" s="90"/>
      <c r="D198" s="90"/>
      <c r="E198" s="90"/>
      <c r="F198" s="90"/>
      <c r="G198" s="105"/>
      <c r="H198" s="90"/>
      <c r="I198" s="90"/>
    </row>
    <row r="199" spans="1:9" ht="24.75" customHeight="1" thickBot="1" x14ac:dyDescent="0.25">
      <c r="A199" s="90"/>
      <c r="B199" s="90"/>
      <c r="C199" s="90"/>
      <c r="D199" s="90"/>
      <c r="E199" s="90"/>
      <c r="F199" s="90"/>
      <c r="G199" s="105"/>
      <c r="H199" s="90"/>
      <c r="I199" s="90"/>
    </row>
    <row r="200" spans="1:9" ht="24.75" customHeight="1" thickBot="1" x14ac:dyDescent="0.25">
      <c r="A200" s="90"/>
      <c r="B200" s="90"/>
      <c r="C200" s="90"/>
      <c r="D200" s="90"/>
      <c r="E200" s="90"/>
      <c r="F200" s="90"/>
      <c r="G200" s="105"/>
      <c r="H200" s="90"/>
      <c r="I200" s="90"/>
    </row>
    <row r="201" spans="1:9" ht="24.75" customHeight="1" thickBot="1" x14ac:dyDescent="0.25">
      <c r="A201" s="90"/>
      <c r="B201" s="90"/>
      <c r="C201" s="90"/>
      <c r="D201" s="90"/>
      <c r="E201" s="90"/>
      <c r="F201" s="90"/>
      <c r="G201" s="105"/>
      <c r="H201" s="90"/>
      <c r="I201" s="90"/>
    </row>
    <row r="202" spans="1:9" ht="24.75" customHeight="1" thickBot="1" x14ac:dyDescent="0.25">
      <c r="A202" s="90"/>
      <c r="B202" s="90"/>
      <c r="C202" s="90"/>
      <c r="D202" s="90"/>
      <c r="E202" s="90"/>
      <c r="F202" s="90"/>
      <c r="G202" s="105"/>
      <c r="H202" s="90"/>
      <c r="I202" s="90"/>
    </row>
    <row r="203" spans="1:9" ht="24.75" customHeight="1" thickBot="1" x14ac:dyDescent="0.25">
      <c r="A203" s="90"/>
      <c r="B203" s="90"/>
      <c r="C203" s="90"/>
      <c r="D203" s="90"/>
      <c r="E203" s="90"/>
      <c r="F203" s="90"/>
      <c r="G203" s="105"/>
      <c r="H203" s="90"/>
      <c r="I203" s="90"/>
    </row>
    <row r="204" spans="1:9" ht="24.75" customHeight="1" thickBot="1" x14ac:dyDescent="0.25">
      <c r="A204" s="90"/>
      <c r="B204" s="90"/>
      <c r="C204" s="90"/>
      <c r="D204" s="90"/>
      <c r="E204" s="90"/>
      <c r="F204" s="90"/>
      <c r="G204" s="105"/>
      <c r="H204" s="90"/>
      <c r="I204" s="90"/>
    </row>
    <row r="205" spans="1:9" ht="24.75" customHeight="1" thickBot="1" x14ac:dyDescent="0.25">
      <c r="A205" s="90"/>
      <c r="B205" s="90"/>
      <c r="C205" s="90"/>
      <c r="D205" s="90"/>
      <c r="E205" s="90"/>
      <c r="F205" s="90"/>
      <c r="G205" s="105"/>
      <c r="H205" s="90"/>
      <c r="I205" s="90"/>
    </row>
    <row r="206" spans="1:9" ht="24.75" customHeight="1" thickBot="1" x14ac:dyDescent="0.25">
      <c r="A206" s="90"/>
      <c r="B206" s="90"/>
      <c r="C206" s="90"/>
      <c r="D206" s="90"/>
      <c r="E206" s="90"/>
      <c r="F206" s="90"/>
      <c r="G206" s="105"/>
      <c r="H206" s="90"/>
      <c r="I206" s="90"/>
    </row>
    <row r="207" spans="1:9" ht="24.75" customHeight="1" thickBot="1" x14ac:dyDescent="0.25">
      <c r="A207" s="90"/>
      <c r="B207" s="90"/>
      <c r="C207" s="90"/>
      <c r="D207" s="90"/>
      <c r="E207" s="90"/>
      <c r="F207" s="90"/>
      <c r="G207" s="105"/>
      <c r="H207" s="90"/>
      <c r="I207" s="90"/>
    </row>
    <row r="208" spans="1:9" ht="24.75" customHeight="1" thickBot="1" x14ac:dyDescent="0.25">
      <c r="A208" s="90"/>
      <c r="B208" s="90"/>
      <c r="C208" s="90"/>
      <c r="D208" s="90"/>
      <c r="E208" s="90"/>
      <c r="F208" s="90"/>
      <c r="G208" s="105"/>
      <c r="H208" s="90"/>
      <c r="I208" s="90"/>
    </row>
    <row r="209" spans="1:9" ht="24.75" customHeight="1" thickBot="1" x14ac:dyDescent="0.25">
      <c r="A209" s="90"/>
      <c r="B209" s="90"/>
      <c r="C209" s="90"/>
      <c r="D209" s="90"/>
      <c r="E209" s="90"/>
      <c r="F209" s="90"/>
      <c r="G209" s="105"/>
      <c r="H209" s="90"/>
      <c r="I209" s="90"/>
    </row>
    <row r="210" spans="1:9" ht="24.75" customHeight="1" thickBot="1" x14ac:dyDescent="0.25">
      <c r="A210" s="90"/>
      <c r="B210" s="90"/>
      <c r="C210" s="90"/>
      <c r="D210" s="90"/>
      <c r="E210" s="90"/>
      <c r="F210" s="90"/>
      <c r="G210" s="105"/>
      <c r="H210" s="90"/>
      <c r="I210" s="90"/>
    </row>
    <row r="211" spans="1:9" ht="24.75" customHeight="1" thickBot="1" x14ac:dyDescent="0.25">
      <c r="A211" s="90"/>
      <c r="B211" s="90"/>
      <c r="C211" s="90"/>
      <c r="D211" s="90"/>
      <c r="E211" s="90"/>
      <c r="F211" s="90"/>
      <c r="G211" s="105"/>
      <c r="H211" s="90"/>
      <c r="I211" s="90"/>
    </row>
    <row r="212" spans="1:9" ht="24.75" customHeight="1" thickBot="1" x14ac:dyDescent="0.25">
      <c r="A212" s="90"/>
      <c r="B212" s="90"/>
      <c r="C212" s="90"/>
      <c r="D212" s="90"/>
      <c r="E212" s="90"/>
      <c r="F212" s="90"/>
      <c r="G212" s="105"/>
      <c r="H212" s="90"/>
      <c r="I212" s="90"/>
    </row>
    <row r="213" spans="1:9" ht="24.75" customHeight="1" thickBot="1" x14ac:dyDescent="0.25">
      <c r="A213" s="90"/>
      <c r="B213" s="90"/>
      <c r="C213" s="90"/>
      <c r="D213" s="90"/>
      <c r="E213" s="90"/>
      <c r="F213" s="90"/>
      <c r="G213" s="105"/>
      <c r="H213" s="90"/>
      <c r="I213" s="90"/>
    </row>
    <row r="214" spans="1:9" ht="24.75" customHeight="1" thickBot="1" x14ac:dyDescent="0.25">
      <c r="A214" s="90"/>
      <c r="B214" s="90"/>
      <c r="C214" s="90"/>
      <c r="D214" s="90"/>
      <c r="E214" s="90"/>
      <c r="F214" s="90"/>
      <c r="G214" s="105"/>
      <c r="H214" s="90"/>
      <c r="I214" s="90"/>
    </row>
    <row r="215" spans="1:9" ht="24.75" customHeight="1" thickBot="1" x14ac:dyDescent="0.25">
      <c r="A215" s="90"/>
      <c r="B215" s="90"/>
      <c r="C215" s="90"/>
      <c r="D215" s="90"/>
      <c r="E215" s="90"/>
      <c r="F215" s="90"/>
      <c r="G215" s="105"/>
      <c r="H215" s="90"/>
      <c r="I215" s="90"/>
    </row>
    <row r="216" spans="1:9" ht="24.75" customHeight="1" thickBot="1" x14ac:dyDescent="0.25">
      <c r="A216" s="90"/>
      <c r="B216" s="90"/>
      <c r="C216" s="90"/>
      <c r="D216" s="90"/>
      <c r="E216" s="90"/>
      <c r="F216" s="90"/>
      <c r="G216" s="105"/>
      <c r="H216" s="90"/>
      <c r="I216" s="90"/>
    </row>
    <row r="217" spans="1:9" ht="24.75" customHeight="1" thickBot="1" x14ac:dyDescent="0.25">
      <c r="A217" s="90"/>
      <c r="B217" s="90"/>
      <c r="C217" s="90"/>
      <c r="D217" s="90"/>
      <c r="E217" s="90"/>
      <c r="F217" s="90"/>
      <c r="G217" s="105"/>
      <c r="H217" s="90"/>
      <c r="I217" s="90"/>
    </row>
    <row r="218" spans="1:9" ht="24.75" customHeight="1" thickBot="1" x14ac:dyDescent="0.25">
      <c r="A218" s="90"/>
      <c r="B218" s="90"/>
      <c r="C218" s="90"/>
      <c r="D218" s="90"/>
      <c r="E218" s="90"/>
      <c r="F218" s="90"/>
      <c r="G218" s="105"/>
      <c r="H218" s="90"/>
      <c r="I218" s="90"/>
    </row>
    <row r="219" spans="1:9" ht="24.75" customHeight="1" thickBot="1" x14ac:dyDescent="0.25">
      <c r="A219" s="90"/>
      <c r="B219" s="90"/>
      <c r="C219" s="90"/>
      <c r="D219" s="90"/>
      <c r="E219" s="90"/>
      <c r="F219" s="90"/>
      <c r="G219" s="105"/>
      <c r="H219" s="90"/>
      <c r="I219" s="90"/>
    </row>
    <row r="220" spans="1:9" ht="24.75" customHeight="1" thickBot="1" x14ac:dyDescent="0.25">
      <c r="A220" s="90"/>
      <c r="B220" s="90"/>
      <c r="C220" s="90"/>
      <c r="D220" s="90"/>
      <c r="E220" s="90"/>
      <c r="F220" s="90"/>
      <c r="G220" s="105"/>
      <c r="H220" s="90"/>
      <c r="I220" s="90"/>
    </row>
    <row r="221" spans="1:9" ht="24.75" customHeight="1" thickBot="1" x14ac:dyDescent="0.25">
      <c r="A221" s="90"/>
      <c r="B221" s="90"/>
      <c r="C221" s="90"/>
      <c r="D221" s="90"/>
      <c r="E221" s="90"/>
      <c r="F221" s="90"/>
      <c r="G221" s="105"/>
      <c r="H221" s="90"/>
      <c r="I221" s="90"/>
    </row>
    <row r="222" spans="1:9" ht="24.75" customHeight="1" thickBot="1" x14ac:dyDescent="0.25">
      <c r="A222" s="90"/>
      <c r="B222" s="90"/>
      <c r="C222" s="90"/>
      <c r="D222" s="90"/>
      <c r="E222" s="90"/>
      <c r="F222" s="90"/>
      <c r="G222" s="105"/>
      <c r="H222" s="90"/>
      <c r="I222" s="90"/>
    </row>
    <row r="223" spans="1:9" ht="24.75" customHeight="1" thickBot="1" x14ac:dyDescent="0.25">
      <c r="A223" s="90"/>
      <c r="B223" s="90"/>
      <c r="C223" s="90"/>
      <c r="D223" s="90"/>
      <c r="E223" s="90"/>
      <c r="F223" s="90"/>
      <c r="G223" s="105"/>
      <c r="H223" s="90"/>
      <c r="I223" s="90"/>
    </row>
    <row r="224" spans="1:9" ht="24.75" customHeight="1" thickBot="1" x14ac:dyDescent="0.25">
      <c r="A224" s="90"/>
      <c r="B224" s="90"/>
      <c r="C224" s="90"/>
      <c r="D224" s="90"/>
      <c r="E224" s="90"/>
      <c r="F224" s="90"/>
      <c r="G224" s="105"/>
      <c r="H224" s="90"/>
      <c r="I224" s="90"/>
    </row>
    <row r="225" spans="1:9" ht="24.75" customHeight="1" thickBot="1" x14ac:dyDescent="0.25">
      <c r="A225" s="90"/>
      <c r="B225" s="90"/>
      <c r="C225" s="90"/>
      <c r="D225" s="90"/>
      <c r="E225" s="90"/>
      <c r="F225" s="90"/>
      <c r="G225" s="105"/>
      <c r="H225" s="90"/>
      <c r="I225" s="90"/>
    </row>
    <row r="226" spans="1:9" ht="24.75" customHeight="1" thickBot="1" x14ac:dyDescent="0.25">
      <c r="A226" s="90"/>
      <c r="B226" s="90"/>
      <c r="C226" s="90"/>
      <c r="D226" s="90"/>
      <c r="E226" s="90"/>
      <c r="F226" s="90"/>
      <c r="G226" s="105"/>
      <c r="H226" s="90"/>
      <c r="I226" s="90"/>
    </row>
    <row r="227" spans="1:9" ht="24.75" customHeight="1" thickBot="1" x14ac:dyDescent="0.25">
      <c r="A227" s="90"/>
      <c r="B227" s="90"/>
      <c r="C227" s="90"/>
      <c r="D227" s="90"/>
      <c r="E227" s="90"/>
      <c r="F227" s="90"/>
      <c r="G227" s="105"/>
      <c r="H227" s="90"/>
      <c r="I227" s="90"/>
    </row>
    <row r="228" spans="1:9" ht="24.75" customHeight="1" thickBot="1" x14ac:dyDescent="0.25">
      <c r="A228" s="90"/>
      <c r="B228" s="90"/>
      <c r="C228" s="90"/>
      <c r="D228" s="90"/>
      <c r="E228" s="90"/>
      <c r="F228" s="90"/>
      <c r="G228" s="105"/>
      <c r="H228" s="90"/>
      <c r="I228" s="90"/>
    </row>
    <row r="229" spans="1:9" ht="24.75" customHeight="1" thickBot="1" x14ac:dyDescent="0.25">
      <c r="A229" s="90"/>
      <c r="B229" s="90"/>
      <c r="C229" s="90"/>
      <c r="D229" s="90"/>
      <c r="E229" s="90"/>
      <c r="F229" s="90"/>
      <c r="G229" s="105"/>
      <c r="H229" s="90"/>
      <c r="I229" s="90"/>
    </row>
    <row r="230" spans="1:9" ht="24.75" customHeight="1" thickBot="1" x14ac:dyDescent="0.25">
      <c r="A230" s="90"/>
      <c r="B230" s="90"/>
      <c r="C230" s="90"/>
      <c r="D230" s="90"/>
      <c r="E230" s="90"/>
      <c r="F230" s="90"/>
      <c r="G230" s="105"/>
      <c r="H230" s="90"/>
      <c r="I230" s="90"/>
    </row>
    <row r="231" spans="1:9" ht="24.75" customHeight="1" thickBot="1" x14ac:dyDescent="0.25">
      <c r="A231" s="90"/>
      <c r="B231" s="90"/>
      <c r="C231" s="90"/>
      <c r="D231" s="90"/>
      <c r="E231" s="90"/>
      <c r="F231" s="90"/>
      <c r="G231" s="105"/>
      <c r="H231" s="90"/>
      <c r="I231" s="90"/>
    </row>
    <row r="232" spans="1:9" ht="24.75" customHeight="1" thickBot="1" x14ac:dyDescent="0.25">
      <c r="A232" s="90"/>
      <c r="B232" s="90"/>
      <c r="C232" s="90"/>
      <c r="D232" s="90"/>
      <c r="E232" s="90"/>
      <c r="F232" s="90"/>
      <c r="G232" s="105"/>
      <c r="H232" s="90"/>
      <c r="I232" s="90"/>
    </row>
    <row r="233" spans="1:9" ht="24.75" customHeight="1" thickBot="1" x14ac:dyDescent="0.25">
      <c r="A233" s="90"/>
      <c r="B233" s="90"/>
      <c r="C233" s="90"/>
      <c r="D233" s="90"/>
      <c r="E233" s="90"/>
      <c r="F233" s="90"/>
      <c r="G233" s="105"/>
      <c r="H233" s="90"/>
      <c r="I233" s="90"/>
    </row>
    <row r="234" spans="1:9" ht="24.75" customHeight="1" thickBot="1" x14ac:dyDescent="0.25">
      <c r="A234" s="90"/>
      <c r="B234" s="90"/>
      <c r="C234" s="90"/>
      <c r="D234" s="90"/>
      <c r="E234" s="90"/>
      <c r="F234" s="90"/>
      <c r="G234" s="105"/>
      <c r="H234" s="90"/>
      <c r="I234" s="90"/>
    </row>
    <row r="235" spans="1:9" ht="24.75" customHeight="1" thickBot="1" x14ac:dyDescent="0.25">
      <c r="A235" s="90"/>
      <c r="B235" s="90"/>
      <c r="C235" s="90"/>
      <c r="D235" s="90"/>
      <c r="E235" s="90"/>
      <c r="F235" s="90"/>
      <c r="G235" s="105"/>
      <c r="H235" s="90"/>
      <c r="I235" s="90"/>
    </row>
    <row r="236" spans="1:9" ht="24.75" customHeight="1" thickBot="1" x14ac:dyDescent="0.25">
      <c r="A236" s="90"/>
      <c r="B236" s="90"/>
      <c r="C236" s="90"/>
      <c r="D236" s="90"/>
      <c r="E236" s="90"/>
      <c r="F236" s="90"/>
      <c r="G236" s="105"/>
      <c r="H236" s="90"/>
      <c r="I236" s="90"/>
    </row>
    <row r="237" spans="1:9" ht="24.75" customHeight="1" thickBot="1" x14ac:dyDescent="0.25">
      <c r="A237" s="90"/>
      <c r="B237" s="90"/>
      <c r="C237" s="90"/>
      <c r="D237" s="90"/>
      <c r="E237" s="90"/>
      <c r="F237" s="90"/>
      <c r="G237" s="105"/>
      <c r="H237" s="90"/>
      <c r="I237" s="90"/>
    </row>
    <row r="238" spans="1:9" ht="24.75" customHeight="1" thickBot="1" x14ac:dyDescent="0.25">
      <c r="A238" s="90"/>
      <c r="B238" s="90"/>
      <c r="C238" s="90"/>
      <c r="D238" s="90"/>
      <c r="E238" s="90"/>
      <c r="F238" s="90"/>
      <c r="G238" s="105"/>
      <c r="H238" s="90"/>
      <c r="I238" s="90"/>
    </row>
    <row r="239" spans="1:9" ht="24.75" customHeight="1" thickBot="1" x14ac:dyDescent="0.25">
      <c r="A239" s="90"/>
      <c r="B239" s="90"/>
      <c r="C239" s="90"/>
      <c r="D239" s="90"/>
      <c r="E239" s="90"/>
      <c r="F239" s="90"/>
      <c r="G239" s="105"/>
      <c r="H239" s="90"/>
      <c r="I239" s="90"/>
    </row>
    <row r="240" spans="1:9" ht="24.75" customHeight="1" thickBot="1" x14ac:dyDescent="0.25">
      <c r="A240" s="90"/>
      <c r="B240" s="90"/>
      <c r="C240" s="90"/>
      <c r="D240" s="90"/>
      <c r="E240" s="90"/>
      <c r="F240" s="90"/>
      <c r="G240" s="105"/>
      <c r="H240" s="90"/>
      <c r="I240" s="90"/>
    </row>
    <row r="241" spans="1:9" ht="24.75" customHeight="1" thickBot="1" x14ac:dyDescent="0.25">
      <c r="A241" s="90"/>
      <c r="B241" s="90"/>
      <c r="C241" s="90"/>
      <c r="D241" s="90"/>
      <c r="E241" s="90"/>
      <c r="F241" s="90"/>
      <c r="G241" s="105"/>
      <c r="H241" s="90"/>
      <c r="I241" s="90"/>
    </row>
    <row r="242" spans="1:9" ht="24.75" customHeight="1" thickBot="1" x14ac:dyDescent="0.25">
      <c r="A242" s="90"/>
      <c r="B242" s="90"/>
      <c r="C242" s="90"/>
      <c r="D242" s="90"/>
      <c r="E242" s="90"/>
      <c r="F242" s="90"/>
      <c r="G242" s="105"/>
      <c r="H242" s="90"/>
      <c r="I242" s="90"/>
    </row>
    <row r="243" spans="1:9" ht="24.75" customHeight="1" thickBot="1" x14ac:dyDescent="0.25">
      <c r="A243" s="90"/>
      <c r="B243" s="90"/>
      <c r="C243" s="90"/>
      <c r="D243" s="90"/>
      <c r="E243" s="90"/>
      <c r="F243" s="90"/>
      <c r="G243" s="105"/>
      <c r="H243" s="90"/>
      <c r="I243" s="90"/>
    </row>
    <row r="244" spans="1:9" ht="24.75" customHeight="1" thickBot="1" x14ac:dyDescent="0.25">
      <c r="A244" s="90"/>
      <c r="B244" s="90"/>
      <c r="C244" s="90"/>
      <c r="D244" s="90"/>
      <c r="E244" s="90"/>
      <c r="F244" s="90"/>
      <c r="G244" s="105"/>
      <c r="H244" s="90"/>
      <c r="I244" s="90"/>
    </row>
    <row r="245" spans="1:9" ht="24.75" customHeight="1" thickBot="1" x14ac:dyDescent="0.25">
      <c r="A245" s="90"/>
      <c r="B245" s="90"/>
      <c r="C245" s="90"/>
      <c r="D245" s="90"/>
      <c r="E245" s="90"/>
      <c r="F245" s="90"/>
      <c r="G245" s="105"/>
      <c r="H245" s="90"/>
      <c r="I245" s="90"/>
    </row>
    <row r="246" spans="1:9" ht="24.75" customHeight="1" thickBot="1" x14ac:dyDescent="0.25">
      <c r="A246" s="90"/>
      <c r="B246" s="90"/>
      <c r="C246" s="90"/>
      <c r="D246" s="90"/>
      <c r="E246" s="90"/>
      <c r="F246" s="90"/>
      <c r="G246" s="105"/>
      <c r="H246" s="90"/>
      <c r="I246" s="90"/>
    </row>
    <row r="247" spans="1:9" ht="24.75" customHeight="1" thickBot="1" x14ac:dyDescent="0.25">
      <c r="A247" s="90"/>
      <c r="B247" s="90"/>
      <c r="C247" s="90"/>
      <c r="D247" s="90"/>
      <c r="E247" s="90"/>
      <c r="F247" s="90"/>
      <c r="G247" s="105"/>
      <c r="H247" s="90"/>
      <c r="I247" s="90"/>
    </row>
    <row r="248" spans="1:9" ht="24.75" customHeight="1" thickBot="1" x14ac:dyDescent="0.25">
      <c r="A248" s="90"/>
      <c r="B248" s="90"/>
      <c r="C248" s="90"/>
      <c r="D248" s="90"/>
      <c r="E248" s="90"/>
      <c r="F248" s="90"/>
      <c r="G248" s="105"/>
      <c r="H248" s="90"/>
      <c r="I248" s="90"/>
    </row>
    <row r="249" spans="1:9" ht="24.75" customHeight="1" thickBot="1" x14ac:dyDescent="0.25">
      <c r="A249" s="90"/>
      <c r="B249" s="90"/>
      <c r="C249" s="90"/>
      <c r="D249" s="90"/>
      <c r="E249" s="90"/>
      <c r="F249" s="90"/>
      <c r="G249" s="105"/>
      <c r="H249" s="90"/>
      <c r="I249" s="90"/>
    </row>
    <row r="250" spans="1:9" ht="24.75" customHeight="1" thickBot="1" x14ac:dyDescent="0.25">
      <c r="A250" s="90"/>
      <c r="B250" s="90"/>
      <c r="C250" s="90"/>
      <c r="D250" s="90"/>
      <c r="E250" s="90"/>
      <c r="F250" s="90"/>
      <c r="G250" s="105"/>
      <c r="H250" s="90"/>
      <c r="I250" s="90"/>
    </row>
    <row r="251" spans="1:9" ht="24.75" customHeight="1" thickBot="1" x14ac:dyDescent="0.25">
      <c r="A251" s="90"/>
      <c r="B251" s="90"/>
      <c r="C251" s="90"/>
      <c r="D251" s="90"/>
      <c r="E251" s="90"/>
      <c r="F251" s="90"/>
      <c r="G251" s="105"/>
      <c r="H251" s="90"/>
      <c r="I251" s="90"/>
    </row>
    <row r="252" spans="1:9" ht="24.75" customHeight="1" thickBot="1" x14ac:dyDescent="0.25">
      <c r="A252" s="90"/>
      <c r="B252" s="90"/>
      <c r="C252" s="90"/>
      <c r="D252" s="90"/>
      <c r="E252" s="90"/>
      <c r="F252" s="90"/>
      <c r="G252" s="105"/>
      <c r="H252" s="90"/>
      <c r="I252" s="90"/>
    </row>
    <row r="253" spans="1:9" ht="24.75" customHeight="1" thickBot="1" x14ac:dyDescent="0.25">
      <c r="A253" s="90"/>
      <c r="B253" s="90"/>
      <c r="C253" s="90"/>
      <c r="D253" s="90"/>
      <c r="E253" s="90"/>
      <c r="F253" s="90"/>
      <c r="G253" s="105"/>
      <c r="H253" s="90"/>
      <c r="I253" s="90"/>
    </row>
    <row r="254" spans="1:9" ht="24.75" customHeight="1" thickBot="1" x14ac:dyDescent="0.25">
      <c r="A254" s="90"/>
      <c r="B254" s="90"/>
      <c r="C254" s="90"/>
      <c r="D254" s="90"/>
      <c r="E254" s="90"/>
      <c r="F254" s="90"/>
      <c r="G254" s="105"/>
      <c r="H254" s="90"/>
      <c r="I254" s="90"/>
    </row>
    <row r="255" spans="1:9" ht="24.75" customHeight="1" thickBot="1" x14ac:dyDescent="0.25">
      <c r="A255" s="90"/>
      <c r="B255" s="90"/>
      <c r="C255" s="90"/>
      <c r="D255" s="90"/>
      <c r="E255" s="90"/>
      <c r="F255" s="90"/>
      <c r="G255" s="105"/>
      <c r="H255" s="90"/>
      <c r="I255" s="90"/>
    </row>
    <row r="256" spans="1:9" ht="24.75" customHeight="1" thickBot="1" x14ac:dyDescent="0.25">
      <c r="A256" s="90"/>
      <c r="B256" s="90"/>
      <c r="C256" s="90"/>
      <c r="D256" s="90"/>
      <c r="E256" s="90"/>
      <c r="F256" s="90"/>
      <c r="G256" s="105"/>
      <c r="H256" s="90"/>
      <c r="I256" s="90"/>
    </row>
    <row r="257" spans="1:9" ht="24.75" customHeight="1" thickBot="1" x14ac:dyDescent="0.25">
      <c r="A257" s="90"/>
      <c r="B257" s="90"/>
      <c r="C257" s="90"/>
      <c r="D257" s="90"/>
      <c r="E257" s="90"/>
      <c r="F257" s="90"/>
      <c r="G257" s="105"/>
      <c r="H257" s="90"/>
      <c r="I257" s="90"/>
    </row>
    <row r="258" spans="1:9" ht="24.75" customHeight="1" thickBot="1" x14ac:dyDescent="0.25">
      <c r="A258" s="90"/>
      <c r="B258" s="90"/>
      <c r="C258" s="90"/>
      <c r="D258" s="90"/>
      <c r="E258" s="90"/>
      <c r="F258" s="90"/>
      <c r="G258" s="105"/>
      <c r="H258" s="90"/>
      <c r="I258" s="90"/>
    </row>
    <row r="259" spans="1:9" ht="24.75" customHeight="1" thickBot="1" x14ac:dyDescent="0.25">
      <c r="A259" s="90"/>
      <c r="B259" s="90"/>
      <c r="C259" s="90"/>
      <c r="D259" s="90"/>
      <c r="E259" s="90"/>
      <c r="F259" s="90"/>
      <c r="G259" s="105"/>
      <c r="H259" s="90"/>
      <c r="I259" s="90"/>
    </row>
    <row r="260" spans="1:9" ht="24.75" customHeight="1" thickBot="1" x14ac:dyDescent="0.25">
      <c r="A260" s="90"/>
      <c r="B260" s="90"/>
      <c r="C260" s="90"/>
      <c r="D260" s="90"/>
      <c r="E260" s="90"/>
      <c r="F260" s="90"/>
      <c r="G260" s="105"/>
      <c r="H260" s="90"/>
      <c r="I260" s="90"/>
    </row>
    <row r="261" spans="1:9" ht="24.75" customHeight="1" thickBot="1" x14ac:dyDescent="0.25">
      <c r="A261" s="90"/>
      <c r="B261" s="90"/>
      <c r="C261" s="90"/>
      <c r="D261" s="90"/>
      <c r="E261" s="90"/>
      <c r="F261" s="90"/>
      <c r="G261" s="105"/>
      <c r="H261" s="90"/>
      <c r="I261" s="90"/>
    </row>
    <row r="262" spans="1:9" ht="24.75" customHeight="1" thickBot="1" x14ac:dyDescent="0.25">
      <c r="A262" s="90"/>
      <c r="B262" s="90"/>
      <c r="C262" s="90"/>
      <c r="D262" s="90"/>
      <c r="E262" s="90"/>
      <c r="F262" s="90"/>
      <c r="G262" s="105"/>
      <c r="H262" s="90"/>
      <c r="I262" s="90"/>
    </row>
    <row r="263" spans="1:9" ht="24.75" customHeight="1" thickBot="1" x14ac:dyDescent="0.25">
      <c r="A263" s="90"/>
      <c r="B263" s="90"/>
      <c r="C263" s="90"/>
      <c r="D263" s="90"/>
      <c r="E263" s="90"/>
      <c r="F263" s="90"/>
      <c r="G263" s="105"/>
      <c r="H263" s="90"/>
      <c r="I263" s="90"/>
    </row>
    <row r="264" spans="1:9" ht="24.75" customHeight="1" thickBot="1" x14ac:dyDescent="0.25">
      <c r="A264" s="90"/>
      <c r="B264" s="90"/>
      <c r="C264" s="90"/>
      <c r="D264" s="90"/>
      <c r="E264" s="90"/>
      <c r="F264" s="90"/>
      <c r="G264" s="105"/>
      <c r="H264" s="90"/>
      <c r="I264" s="90"/>
    </row>
    <row r="265" spans="1:9" ht="24.75" customHeight="1" thickBot="1" x14ac:dyDescent="0.25">
      <c r="A265" s="90"/>
      <c r="B265" s="90"/>
      <c r="C265" s="90"/>
      <c r="D265" s="90"/>
      <c r="E265" s="90"/>
      <c r="F265" s="90"/>
      <c r="G265" s="105"/>
      <c r="H265" s="90"/>
      <c r="I265" s="90"/>
    </row>
    <row r="266" spans="1:9" ht="24.75" customHeight="1" thickBot="1" x14ac:dyDescent="0.25">
      <c r="A266" s="90"/>
      <c r="B266" s="90"/>
      <c r="C266" s="90"/>
      <c r="D266" s="90"/>
      <c r="E266" s="90"/>
      <c r="F266" s="90"/>
      <c r="G266" s="105"/>
      <c r="H266" s="90"/>
      <c r="I266" s="90"/>
    </row>
    <row r="267" spans="1:9" ht="24.75" customHeight="1" thickBot="1" x14ac:dyDescent="0.25">
      <c r="A267" s="90"/>
      <c r="B267" s="90"/>
      <c r="C267" s="90"/>
      <c r="D267" s="90"/>
      <c r="E267" s="90"/>
      <c r="F267" s="90"/>
      <c r="G267" s="105"/>
      <c r="H267" s="90"/>
      <c r="I267" s="90"/>
    </row>
    <row r="268" spans="1:9" ht="24.75" customHeight="1" thickBot="1" x14ac:dyDescent="0.25">
      <c r="A268" s="90"/>
      <c r="B268" s="90"/>
      <c r="C268" s="90"/>
      <c r="D268" s="90"/>
      <c r="E268" s="90"/>
      <c r="F268" s="90"/>
      <c r="G268" s="105"/>
      <c r="H268" s="90"/>
      <c r="I268" s="90"/>
    </row>
    <row r="269" spans="1:9" ht="24.75" customHeight="1" thickBot="1" x14ac:dyDescent="0.25">
      <c r="A269" s="90"/>
      <c r="B269" s="90"/>
      <c r="C269" s="90"/>
      <c r="D269" s="90"/>
      <c r="E269" s="90"/>
      <c r="F269" s="90"/>
      <c r="G269" s="105"/>
      <c r="H269" s="90"/>
      <c r="I269" s="90"/>
    </row>
    <row r="270" spans="1:9" ht="24.75" customHeight="1" thickBot="1" x14ac:dyDescent="0.25">
      <c r="A270" s="90"/>
      <c r="B270" s="90"/>
      <c r="C270" s="90"/>
      <c r="D270" s="90"/>
      <c r="E270" s="90"/>
      <c r="F270" s="90"/>
      <c r="G270" s="105"/>
      <c r="H270" s="90"/>
      <c r="I270" s="90"/>
    </row>
    <row r="271" spans="1:9" ht="24.75" customHeight="1" thickBot="1" x14ac:dyDescent="0.25">
      <c r="A271" s="90"/>
      <c r="B271" s="90"/>
      <c r="C271" s="90"/>
      <c r="D271" s="90"/>
      <c r="E271" s="90"/>
      <c r="F271" s="90"/>
      <c r="G271" s="105"/>
      <c r="H271" s="90"/>
      <c r="I271" s="90"/>
    </row>
    <row r="272" spans="1:9" ht="24.75" customHeight="1" thickBot="1" x14ac:dyDescent="0.25">
      <c r="A272" s="90"/>
      <c r="B272" s="90"/>
      <c r="C272" s="90"/>
      <c r="D272" s="90"/>
      <c r="E272" s="90"/>
      <c r="F272" s="90"/>
      <c r="G272" s="105"/>
      <c r="H272" s="90"/>
      <c r="I272" s="90"/>
    </row>
    <row r="273" spans="1:9" ht="24.75" customHeight="1" thickBot="1" x14ac:dyDescent="0.25">
      <c r="A273" s="90"/>
      <c r="B273" s="90"/>
      <c r="C273" s="90"/>
      <c r="D273" s="90"/>
      <c r="E273" s="90"/>
      <c r="F273" s="90"/>
      <c r="G273" s="105"/>
      <c r="H273" s="90"/>
      <c r="I273" s="90"/>
    </row>
    <row r="274" spans="1:9" ht="24.75" customHeight="1" thickBot="1" x14ac:dyDescent="0.25">
      <c r="A274" s="90"/>
      <c r="B274" s="90"/>
      <c r="C274" s="90"/>
      <c r="D274" s="90"/>
      <c r="E274" s="90"/>
      <c r="F274" s="90"/>
      <c r="G274" s="105"/>
      <c r="H274" s="90"/>
      <c r="I274" s="90"/>
    </row>
    <row r="275" spans="1:9" ht="24.75" customHeight="1" thickBot="1" x14ac:dyDescent="0.25">
      <c r="A275" s="90"/>
      <c r="B275" s="90"/>
      <c r="C275" s="90"/>
      <c r="D275" s="90"/>
      <c r="E275" s="90"/>
      <c r="F275" s="90"/>
      <c r="G275" s="105"/>
      <c r="H275" s="90"/>
      <c r="I275" s="90"/>
    </row>
    <row r="276" spans="1:9" ht="24.75" customHeight="1" thickBot="1" x14ac:dyDescent="0.25">
      <c r="A276" s="90"/>
      <c r="B276" s="90"/>
      <c r="C276" s="90"/>
      <c r="D276" s="90"/>
      <c r="E276" s="90"/>
      <c r="F276" s="90"/>
      <c r="G276" s="105"/>
      <c r="H276" s="90"/>
      <c r="I276" s="90"/>
    </row>
    <row r="277" spans="1:9" ht="24.75" customHeight="1" thickBot="1" x14ac:dyDescent="0.25">
      <c r="A277" s="90"/>
      <c r="B277" s="90"/>
      <c r="C277" s="90"/>
      <c r="D277" s="90"/>
      <c r="E277" s="90"/>
      <c r="F277" s="90"/>
      <c r="G277" s="105"/>
      <c r="H277" s="90"/>
      <c r="I277" s="90"/>
    </row>
    <row r="278" spans="1:9" ht="24.75" customHeight="1" thickBot="1" x14ac:dyDescent="0.25">
      <c r="A278" s="90"/>
      <c r="B278" s="90"/>
      <c r="C278" s="90"/>
      <c r="D278" s="90"/>
      <c r="E278" s="90"/>
      <c r="F278" s="90"/>
      <c r="G278" s="105"/>
      <c r="H278" s="90"/>
      <c r="I278" s="90"/>
    </row>
    <row r="279" spans="1:9" ht="24.75" customHeight="1" thickBot="1" x14ac:dyDescent="0.25">
      <c r="A279" s="90"/>
      <c r="B279" s="90"/>
      <c r="C279" s="90"/>
      <c r="D279" s="90"/>
      <c r="E279" s="90"/>
      <c r="F279" s="90"/>
      <c r="G279" s="105"/>
      <c r="H279" s="90"/>
      <c r="I279" s="90"/>
    </row>
    <row r="280" spans="1:9" ht="24.75" customHeight="1" thickBot="1" x14ac:dyDescent="0.25">
      <c r="A280" s="90"/>
      <c r="B280" s="90"/>
      <c r="C280" s="90"/>
      <c r="D280" s="90"/>
      <c r="E280" s="90"/>
      <c r="F280" s="90"/>
      <c r="G280" s="105"/>
      <c r="H280" s="90"/>
      <c r="I280" s="90"/>
    </row>
    <row r="281" spans="1:9" ht="24.75" customHeight="1" thickBot="1" x14ac:dyDescent="0.25">
      <c r="A281" s="90"/>
      <c r="B281" s="90"/>
      <c r="C281" s="90"/>
      <c r="D281" s="90"/>
      <c r="E281" s="90"/>
      <c r="F281" s="90"/>
      <c r="G281" s="105"/>
      <c r="H281" s="90"/>
      <c r="I281" s="90"/>
    </row>
    <row r="282" spans="1:9" ht="24.75" customHeight="1" thickBot="1" x14ac:dyDescent="0.25">
      <c r="A282" s="90"/>
      <c r="B282" s="90"/>
      <c r="C282" s="90"/>
      <c r="D282" s="90"/>
      <c r="E282" s="90"/>
      <c r="F282" s="90"/>
      <c r="G282" s="105"/>
      <c r="H282" s="90"/>
      <c r="I282" s="90"/>
    </row>
    <row r="283" spans="1:9" ht="24.75" customHeight="1" thickBot="1" x14ac:dyDescent="0.25">
      <c r="A283" s="90"/>
      <c r="B283" s="90"/>
      <c r="C283" s="90"/>
      <c r="D283" s="90"/>
      <c r="E283" s="90"/>
      <c r="F283" s="90"/>
      <c r="G283" s="105"/>
      <c r="H283" s="90"/>
      <c r="I283" s="90"/>
    </row>
    <row r="284" spans="1:9" ht="24.75" customHeight="1" thickBot="1" x14ac:dyDescent="0.25">
      <c r="A284" s="90"/>
      <c r="B284" s="90"/>
      <c r="C284" s="90"/>
      <c r="D284" s="90"/>
      <c r="E284" s="90"/>
      <c r="F284" s="90"/>
      <c r="G284" s="105"/>
      <c r="H284" s="90"/>
      <c r="I284" s="90"/>
    </row>
    <row r="285" spans="1:9" ht="24.75" customHeight="1" thickBot="1" x14ac:dyDescent="0.25">
      <c r="A285" s="90"/>
      <c r="B285" s="90"/>
      <c r="C285" s="90"/>
      <c r="D285" s="90"/>
      <c r="E285" s="90"/>
      <c r="F285" s="90"/>
      <c r="G285" s="105"/>
      <c r="H285" s="90"/>
      <c r="I285" s="90"/>
    </row>
    <row r="286" spans="1:9" ht="24.75" customHeight="1" thickBot="1" x14ac:dyDescent="0.25">
      <c r="A286" s="90"/>
      <c r="B286" s="90"/>
      <c r="C286" s="90"/>
      <c r="D286" s="90"/>
      <c r="E286" s="90"/>
      <c r="F286" s="90"/>
      <c r="G286" s="105"/>
      <c r="H286" s="90"/>
      <c r="I286" s="90"/>
    </row>
    <row r="287" spans="1:9" ht="24.75" customHeight="1" thickBot="1" x14ac:dyDescent="0.25">
      <c r="A287" s="90"/>
      <c r="B287" s="90"/>
      <c r="C287" s="90"/>
      <c r="D287" s="90"/>
      <c r="E287" s="90"/>
      <c r="F287" s="90"/>
      <c r="G287" s="105"/>
      <c r="H287" s="90"/>
      <c r="I287" s="90"/>
    </row>
    <row r="288" spans="1:9" ht="24.75" customHeight="1" thickBot="1" x14ac:dyDescent="0.25">
      <c r="A288" s="90"/>
      <c r="B288" s="90"/>
      <c r="C288" s="90"/>
      <c r="D288" s="90"/>
      <c r="E288" s="90"/>
      <c r="F288" s="90"/>
      <c r="G288" s="105"/>
      <c r="H288" s="90"/>
      <c r="I288" s="90"/>
    </row>
    <row r="289" spans="1:9" ht="24.75" customHeight="1" thickBot="1" x14ac:dyDescent="0.25">
      <c r="A289" s="90"/>
      <c r="B289" s="90"/>
      <c r="C289" s="90"/>
      <c r="D289" s="90"/>
      <c r="E289" s="90"/>
      <c r="F289" s="90"/>
      <c r="G289" s="105"/>
      <c r="H289" s="90"/>
      <c r="I289" s="90"/>
    </row>
    <row r="290" spans="1:9" ht="24.75" customHeight="1" thickBot="1" x14ac:dyDescent="0.25">
      <c r="A290" s="90"/>
      <c r="B290" s="90"/>
      <c r="C290" s="90"/>
      <c r="D290" s="90"/>
      <c r="E290" s="90"/>
      <c r="F290" s="90"/>
      <c r="G290" s="105"/>
      <c r="H290" s="90"/>
      <c r="I290" s="90"/>
    </row>
    <row r="291" spans="1:9" ht="24.75" customHeight="1" thickBot="1" x14ac:dyDescent="0.25">
      <c r="A291" s="90"/>
      <c r="B291" s="90"/>
      <c r="C291" s="90"/>
      <c r="D291" s="90"/>
      <c r="E291" s="90"/>
      <c r="F291" s="90"/>
      <c r="G291" s="105"/>
      <c r="H291" s="90"/>
      <c r="I291" s="90"/>
    </row>
    <row r="292" spans="1:9" ht="24.75" customHeight="1" thickBot="1" x14ac:dyDescent="0.25">
      <c r="A292" s="90"/>
      <c r="B292" s="90"/>
      <c r="C292" s="90"/>
      <c r="D292" s="90"/>
      <c r="E292" s="90"/>
      <c r="F292" s="90"/>
      <c r="G292" s="105"/>
      <c r="H292" s="90"/>
      <c r="I292" s="90"/>
    </row>
    <row r="293" spans="1:9" ht="24.75" customHeight="1" thickBot="1" x14ac:dyDescent="0.25">
      <c r="A293" s="90"/>
      <c r="B293" s="90"/>
      <c r="C293" s="90"/>
      <c r="D293" s="90"/>
      <c r="E293" s="90"/>
      <c r="F293" s="90"/>
      <c r="G293" s="105"/>
      <c r="H293" s="90"/>
      <c r="I293" s="90"/>
    </row>
    <row r="294" spans="1:9" ht="24.75" customHeight="1" thickBot="1" x14ac:dyDescent="0.25">
      <c r="A294" s="90"/>
      <c r="B294" s="90"/>
      <c r="C294" s="90"/>
      <c r="D294" s="90"/>
      <c r="E294" s="90"/>
      <c r="F294" s="90"/>
      <c r="G294" s="105"/>
      <c r="H294" s="90"/>
      <c r="I294" s="90"/>
    </row>
    <row r="295" spans="1:9" ht="24.75" customHeight="1" thickBot="1" x14ac:dyDescent="0.25">
      <c r="A295" s="90"/>
      <c r="B295" s="90"/>
      <c r="C295" s="90"/>
      <c r="D295" s="90"/>
      <c r="E295" s="90"/>
      <c r="F295" s="90"/>
      <c r="G295" s="105"/>
      <c r="H295" s="90"/>
      <c r="I295" s="90"/>
    </row>
    <row r="296" spans="1:9" ht="24.75" customHeight="1" thickBot="1" x14ac:dyDescent="0.25">
      <c r="A296" s="90"/>
      <c r="B296" s="90"/>
      <c r="C296" s="90"/>
      <c r="D296" s="90"/>
      <c r="E296" s="90"/>
      <c r="F296" s="90"/>
      <c r="G296" s="105"/>
      <c r="H296" s="90"/>
      <c r="I296" s="90"/>
    </row>
    <row r="297" spans="1:9" ht="24.75" customHeight="1" thickBot="1" x14ac:dyDescent="0.25">
      <c r="A297" s="90"/>
      <c r="B297" s="90"/>
      <c r="C297" s="90"/>
      <c r="D297" s="90"/>
      <c r="E297" s="90"/>
      <c r="F297" s="90"/>
      <c r="G297" s="105"/>
      <c r="H297" s="90"/>
      <c r="I297" s="90"/>
    </row>
    <row r="298" spans="1:9" ht="24.75" customHeight="1" thickBot="1" x14ac:dyDescent="0.25">
      <c r="A298" s="90"/>
      <c r="B298" s="90"/>
      <c r="C298" s="90"/>
      <c r="D298" s="90"/>
      <c r="E298" s="90"/>
      <c r="F298" s="90"/>
      <c r="G298" s="105"/>
      <c r="H298" s="90"/>
      <c r="I298" s="90"/>
    </row>
    <row r="299" spans="1:9" ht="24.75" customHeight="1" thickBot="1" x14ac:dyDescent="0.25">
      <c r="A299" s="90"/>
      <c r="B299" s="90"/>
      <c r="C299" s="90"/>
      <c r="D299" s="90"/>
      <c r="E299" s="90"/>
      <c r="F299" s="90"/>
      <c r="G299" s="105"/>
      <c r="H299" s="90"/>
      <c r="I299" s="90"/>
    </row>
    <row r="300" spans="1:9" ht="24.75" customHeight="1" thickBot="1" x14ac:dyDescent="0.25">
      <c r="A300" s="90"/>
      <c r="B300" s="90"/>
      <c r="C300" s="90"/>
      <c r="D300" s="90"/>
      <c r="E300" s="90"/>
      <c r="F300" s="90"/>
      <c r="G300" s="105"/>
      <c r="H300" s="90"/>
      <c r="I300" s="90"/>
    </row>
    <row r="301" spans="1:9" ht="24.75" customHeight="1" thickBot="1" x14ac:dyDescent="0.25">
      <c r="A301" s="90"/>
      <c r="B301" s="90"/>
      <c r="C301" s="90"/>
      <c r="D301" s="90"/>
      <c r="E301" s="90"/>
      <c r="F301" s="90"/>
      <c r="G301" s="105"/>
      <c r="H301" s="90"/>
      <c r="I301" s="90"/>
    </row>
    <row r="302" spans="1:9" ht="24.75" customHeight="1" thickBot="1" x14ac:dyDescent="0.25">
      <c r="A302" s="90"/>
      <c r="B302" s="90"/>
      <c r="C302" s="90"/>
      <c r="D302" s="90"/>
      <c r="E302" s="90"/>
      <c r="F302" s="90"/>
      <c r="G302" s="105"/>
      <c r="H302" s="90"/>
      <c r="I302" s="90"/>
    </row>
    <row r="303" spans="1:9" ht="24.75" customHeight="1" thickBot="1" x14ac:dyDescent="0.25">
      <c r="A303" s="90"/>
      <c r="B303" s="90"/>
      <c r="C303" s="90"/>
      <c r="D303" s="90"/>
      <c r="E303" s="90"/>
      <c r="F303" s="90"/>
      <c r="G303" s="105"/>
      <c r="H303" s="90"/>
      <c r="I303" s="90"/>
    </row>
    <row r="304" spans="1:9" ht="24.75" customHeight="1" thickBot="1" x14ac:dyDescent="0.25">
      <c r="A304" s="90"/>
      <c r="B304" s="90"/>
      <c r="C304" s="90"/>
      <c r="D304" s="90"/>
      <c r="E304" s="90"/>
      <c r="F304" s="90"/>
      <c r="G304" s="105"/>
      <c r="H304" s="90"/>
      <c r="I304" s="90"/>
    </row>
    <row r="305" spans="1:9" ht="24.75" customHeight="1" thickBot="1" x14ac:dyDescent="0.25">
      <c r="A305" s="90"/>
      <c r="B305" s="90"/>
      <c r="C305" s="90"/>
      <c r="D305" s="90"/>
      <c r="E305" s="90"/>
      <c r="F305" s="90"/>
      <c r="G305" s="105"/>
      <c r="H305" s="90"/>
      <c r="I305" s="90"/>
    </row>
    <row r="306" spans="1:9" ht="24.75" customHeight="1" thickBot="1" x14ac:dyDescent="0.25">
      <c r="A306" s="90"/>
      <c r="B306" s="90"/>
      <c r="C306" s="90"/>
      <c r="D306" s="90"/>
      <c r="E306" s="90"/>
      <c r="F306" s="90"/>
      <c r="G306" s="105"/>
      <c r="H306" s="90"/>
      <c r="I306" s="90"/>
    </row>
    <row r="307" spans="1:9" ht="24.75" customHeight="1" thickBot="1" x14ac:dyDescent="0.25">
      <c r="A307" s="90"/>
      <c r="B307" s="90"/>
      <c r="C307" s="90"/>
      <c r="D307" s="90"/>
      <c r="E307" s="90"/>
      <c r="F307" s="90"/>
      <c r="G307" s="105"/>
      <c r="H307" s="90"/>
      <c r="I307" s="90"/>
    </row>
    <row r="308" spans="1:9" ht="24.75" customHeight="1" thickBot="1" x14ac:dyDescent="0.25">
      <c r="A308" s="90"/>
      <c r="B308" s="90"/>
      <c r="C308" s="90"/>
      <c r="D308" s="90"/>
      <c r="E308" s="90"/>
      <c r="F308" s="90"/>
      <c r="G308" s="105"/>
      <c r="H308" s="90"/>
      <c r="I308" s="90"/>
    </row>
    <row r="309" spans="1:9" ht="24.75" customHeight="1" thickBot="1" x14ac:dyDescent="0.25">
      <c r="A309" s="90"/>
      <c r="B309" s="90"/>
      <c r="C309" s="90"/>
      <c r="D309" s="90"/>
      <c r="E309" s="90"/>
      <c r="F309" s="90"/>
      <c r="G309" s="105"/>
      <c r="H309" s="90"/>
      <c r="I309" s="90"/>
    </row>
    <row r="310" spans="1:9" ht="24.75" customHeight="1" thickBot="1" x14ac:dyDescent="0.25">
      <c r="A310" s="90"/>
      <c r="B310" s="90"/>
      <c r="C310" s="90"/>
      <c r="D310" s="90"/>
      <c r="E310" s="90"/>
      <c r="F310" s="90"/>
      <c r="G310" s="105"/>
      <c r="H310" s="90"/>
      <c r="I310" s="90"/>
    </row>
    <row r="311" spans="1:9" ht="24.75" customHeight="1" thickBot="1" x14ac:dyDescent="0.25">
      <c r="A311" s="90"/>
      <c r="B311" s="90"/>
      <c r="C311" s="90"/>
      <c r="D311" s="90"/>
      <c r="E311" s="90"/>
      <c r="F311" s="90"/>
      <c r="G311" s="105"/>
      <c r="H311" s="90"/>
      <c r="I311" s="90"/>
    </row>
    <row r="312" spans="1:9" ht="24.75" customHeight="1" thickBot="1" x14ac:dyDescent="0.25">
      <c r="A312" s="90"/>
      <c r="B312" s="90"/>
      <c r="C312" s="90"/>
      <c r="D312" s="90"/>
      <c r="E312" s="90"/>
      <c r="F312" s="90"/>
      <c r="G312" s="105"/>
      <c r="H312" s="90"/>
      <c r="I312" s="90"/>
    </row>
    <row r="313" spans="1:9" ht="24.75" customHeight="1" thickBot="1" x14ac:dyDescent="0.25">
      <c r="A313" s="90"/>
      <c r="B313" s="90"/>
      <c r="C313" s="90"/>
      <c r="D313" s="90"/>
      <c r="E313" s="90"/>
      <c r="F313" s="90"/>
      <c r="G313" s="105"/>
      <c r="H313" s="90"/>
      <c r="I313" s="90"/>
    </row>
    <row r="314" spans="1:9" ht="24.75" customHeight="1" thickBot="1" x14ac:dyDescent="0.25">
      <c r="A314" s="90"/>
      <c r="B314" s="90"/>
      <c r="C314" s="90"/>
      <c r="D314" s="90"/>
      <c r="E314" s="90"/>
      <c r="F314" s="90"/>
      <c r="G314" s="105"/>
      <c r="H314" s="90"/>
      <c r="I314" s="90"/>
    </row>
    <row r="315" spans="1:9" ht="24.75" customHeight="1" thickBot="1" x14ac:dyDescent="0.25">
      <c r="A315" s="90"/>
      <c r="B315" s="90"/>
      <c r="C315" s="90"/>
      <c r="D315" s="90"/>
      <c r="E315" s="90"/>
      <c r="F315" s="90"/>
      <c r="G315" s="105"/>
      <c r="H315" s="90"/>
      <c r="I315" s="90"/>
    </row>
    <row r="316" spans="1:9" ht="24.75" customHeight="1" thickBot="1" x14ac:dyDescent="0.25">
      <c r="A316" s="90"/>
      <c r="B316" s="90"/>
      <c r="C316" s="90"/>
      <c r="D316" s="90"/>
      <c r="E316" s="90"/>
      <c r="F316" s="90"/>
      <c r="G316" s="105"/>
      <c r="H316" s="90"/>
      <c r="I316" s="90"/>
    </row>
    <row r="317" spans="1:9" ht="24.75" customHeight="1" thickBot="1" x14ac:dyDescent="0.25">
      <c r="A317" s="90"/>
      <c r="B317" s="90"/>
      <c r="C317" s="90"/>
      <c r="D317" s="90"/>
      <c r="E317" s="90"/>
      <c r="F317" s="90"/>
      <c r="G317" s="105"/>
      <c r="H317" s="90"/>
      <c r="I317" s="90"/>
    </row>
    <row r="318" spans="1:9" ht="24.75" customHeight="1" thickBot="1" x14ac:dyDescent="0.25">
      <c r="A318" s="90"/>
      <c r="B318" s="90"/>
      <c r="C318" s="90"/>
      <c r="D318" s="90"/>
      <c r="E318" s="90"/>
      <c r="F318" s="90"/>
      <c r="G318" s="105"/>
      <c r="H318" s="90"/>
      <c r="I318" s="90"/>
    </row>
    <row r="319" spans="1:9" ht="24.75" customHeight="1" thickBot="1" x14ac:dyDescent="0.25">
      <c r="A319" s="90"/>
      <c r="B319" s="90"/>
      <c r="C319" s="90"/>
      <c r="D319" s="90"/>
      <c r="E319" s="90"/>
      <c r="F319" s="90"/>
      <c r="G319" s="105"/>
      <c r="H319" s="90"/>
      <c r="I319" s="90"/>
    </row>
    <row r="320" spans="1:9" ht="24.75" customHeight="1" thickBot="1" x14ac:dyDescent="0.25">
      <c r="A320" s="90"/>
      <c r="B320" s="90"/>
      <c r="C320" s="90"/>
      <c r="D320" s="90"/>
      <c r="E320" s="90"/>
      <c r="F320" s="90"/>
      <c r="G320" s="105"/>
      <c r="H320" s="90"/>
      <c r="I320" s="90"/>
    </row>
    <row r="321" spans="1:9" ht="24.75" customHeight="1" thickBot="1" x14ac:dyDescent="0.25">
      <c r="A321" s="90"/>
      <c r="B321" s="90"/>
      <c r="C321" s="90"/>
      <c r="D321" s="90"/>
      <c r="E321" s="90"/>
      <c r="F321" s="90"/>
      <c r="G321" s="105"/>
      <c r="H321" s="90"/>
      <c r="I321" s="90"/>
    </row>
    <row r="322" spans="1:9" ht="24.75" customHeight="1" thickBot="1" x14ac:dyDescent="0.25">
      <c r="A322" s="90"/>
      <c r="B322" s="90"/>
      <c r="C322" s="90"/>
      <c r="D322" s="90"/>
      <c r="E322" s="90"/>
      <c r="F322" s="90"/>
      <c r="G322" s="105"/>
      <c r="H322" s="90"/>
      <c r="I322" s="90"/>
    </row>
    <row r="323" spans="1:9" ht="24.75" customHeight="1" thickBot="1" x14ac:dyDescent="0.25">
      <c r="A323" s="90"/>
      <c r="B323" s="90"/>
      <c r="C323" s="90"/>
      <c r="D323" s="90"/>
      <c r="E323" s="90"/>
      <c r="F323" s="90"/>
      <c r="G323" s="105"/>
      <c r="H323" s="90"/>
      <c r="I323" s="90"/>
    </row>
    <row r="324" spans="1:9" ht="24.75" customHeight="1" thickBot="1" x14ac:dyDescent="0.25">
      <c r="A324" s="90"/>
      <c r="B324" s="90"/>
      <c r="C324" s="90"/>
      <c r="D324" s="90"/>
      <c r="E324" s="90"/>
      <c r="F324" s="90"/>
      <c r="G324" s="105"/>
      <c r="H324" s="90"/>
      <c r="I324" s="90"/>
    </row>
    <row r="325" spans="1:9" ht="24.75" customHeight="1" thickBot="1" x14ac:dyDescent="0.25">
      <c r="A325" s="90"/>
      <c r="B325" s="90"/>
      <c r="C325" s="90"/>
      <c r="D325" s="90"/>
      <c r="E325" s="90"/>
      <c r="F325" s="90"/>
      <c r="G325" s="105"/>
      <c r="H325" s="90"/>
      <c r="I325" s="90"/>
    </row>
    <row r="326" spans="1:9" ht="24.75" customHeight="1" thickBot="1" x14ac:dyDescent="0.25">
      <c r="A326" s="90"/>
      <c r="B326" s="90"/>
      <c r="C326" s="90"/>
      <c r="D326" s="90"/>
      <c r="E326" s="90"/>
      <c r="F326" s="90"/>
      <c r="G326" s="105"/>
      <c r="H326" s="90"/>
      <c r="I326" s="90"/>
    </row>
    <row r="327" spans="1:9" ht="24.75" customHeight="1" thickBot="1" x14ac:dyDescent="0.25">
      <c r="A327" s="90"/>
      <c r="B327" s="90"/>
      <c r="C327" s="90"/>
      <c r="D327" s="90"/>
      <c r="E327" s="90"/>
      <c r="F327" s="90"/>
      <c r="G327" s="105"/>
      <c r="H327" s="90"/>
      <c r="I327" s="90"/>
    </row>
    <row r="328" spans="1:9" ht="24.75" customHeight="1" thickBot="1" x14ac:dyDescent="0.25">
      <c r="A328" s="90"/>
      <c r="B328" s="90"/>
      <c r="C328" s="90"/>
      <c r="D328" s="90"/>
      <c r="E328" s="90"/>
      <c r="F328" s="90"/>
      <c r="G328" s="105"/>
      <c r="H328" s="90"/>
      <c r="I328" s="90"/>
    </row>
    <row r="329" spans="1:9" ht="24.75" customHeight="1" thickBot="1" x14ac:dyDescent="0.25">
      <c r="A329" s="90"/>
      <c r="B329" s="90"/>
      <c r="C329" s="90"/>
      <c r="D329" s="90"/>
      <c r="E329" s="90"/>
      <c r="F329" s="90"/>
      <c r="G329" s="105"/>
      <c r="H329" s="90"/>
      <c r="I329" s="90"/>
    </row>
    <row r="330" spans="1:9" ht="24.75" customHeight="1" thickBot="1" x14ac:dyDescent="0.25">
      <c r="A330" s="90"/>
      <c r="B330" s="90"/>
      <c r="C330" s="90"/>
      <c r="D330" s="90"/>
      <c r="E330" s="90"/>
      <c r="F330" s="90"/>
      <c r="G330" s="105"/>
      <c r="H330" s="90"/>
      <c r="I330" s="90"/>
    </row>
    <row r="331" spans="1:9" ht="24.75" customHeight="1" thickBot="1" x14ac:dyDescent="0.25">
      <c r="A331" s="90"/>
      <c r="B331" s="90"/>
      <c r="C331" s="90"/>
      <c r="D331" s="90"/>
      <c r="E331" s="90"/>
      <c r="F331" s="90"/>
      <c r="G331" s="105"/>
      <c r="H331" s="90"/>
      <c r="I331" s="90"/>
    </row>
    <row r="332" spans="1:9" ht="24.75" customHeight="1" thickBot="1" x14ac:dyDescent="0.25">
      <c r="A332" s="90"/>
      <c r="B332" s="90"/>
      <c r="C332" s="90"/>
      <c r="D332" s="90"/>
      <c r="E332" s="90"/>
      <c r="F332" s="90"/>
      <c r="G332" s="105"/>
      <c r="H332" s="90"/>
      <c r="I332" s="90"/>
    </row>
    <row r="333" spans="1:9" ht="24.75" customHeight="1" thickBot="1" x14ac:dyDescent="0.25">
      <c r="A333" s="90"/>
      <c r="B333" s="90"/>
      <c r="C333" s="90"/>
      <c r="D333" s="90"/>
      <c r="E333" s="90"/>
      <c r="F333" s="90"/>
      <c r="G333" s="105"/>
      <c r="H333" s="90"/>
      <c r="I333" s="90"/>
    </row>
    <row r="334" spans="1:9" ht="24.75" customHeight="1" thickBot="1" x14ac:dyDescent="0.25">
      <c r="A334" s="90"/>
      <c r="B334" s="90"/>
      <c r="C334" s="90"/>
      <c r="D334" s="90"/>
      <c r="E334" s="90"/>
      <c r="F334" s="90"/>
      <c r="G334" s="105"/>
      <c r="H334" s="90"/>
      <c r="I334" s="90"/>
    </row>
    <row r="335" spans="1:9" ht="24.75" customHeight="1" thickBot="1" x14ac:dyDescent="0.25">
      <c r="A335" s="90"/>
      <c r="B335" s="90"/>
      <c r="C335" s="90"/>
      <c r="D335" s="90"/>
      <c r="E335" s="90"/>
      <c r="F335" s="90"/>
      <c r="G335" s="105"/>
      <c r="H335" s="90"/>
      <c r="I335" s="90"/>
    </row>
    <row r="336" spans="1:9" ht="24.75" customHeight="1" thickBot="1" x14ac:dyDescent="0.25">
      <c r="A336" s="90"/>
      <c r="B336" s="90"/>
      <c r="C336" s="90"/>
      <c r="D336" s="90"/>
      <c r="E336" s="90"/>
      <c r="F336" s="90"/>
      <c r="G336" s="105"/>
      <c r="H336" s="90"/>
      <c r="I336" s="90"/>
    </row>
    <row r="337" spans="1:9" ht="24.75" customHeight="1" thickBot="1" x14ac:dyDescent="0.25">
      <c r="A337" s="90"/>
      <c r="B337" s="90"/>
      <c r="C337" s="90"/>
      <c r="D337" s="90"/>
      <c r="E337" s="90"/>
      <c r="F337" s="90"/>
      <c r="G337" s="105"/>
      <c r="H337" s="90"/>
      <c r="I337" s="90"/>
    </row>
    <row r="338" spans="1:9" ht="24.75" customHeight="1" thickBot="1" x14ac:dyDescent="0.25">
      <c r="A338" s="90"/>
      <c r="B338" s="90"/>
      <c r="C338" s="90"/>
      <c r="D338" s="90"/>
      <c r="E338" s="90"/>
      <c r="F338" s="90"/>
      <c r="G338" s="105"/>
      <c r="H338" s="90"/>
      <c r="I338" s="90"/>
    </row>
    <row r="339" spans="1:9" ht="24.75" customHeight="1" thickBot="1" x14ac:dyDescent="0.25">
      <c r="A339" s="90"/>
      <c r="B339" s="90"/>
      <c r="C339" s="90"/>
      <c r="D339" s="90"/>
      <c r="E339" s="90"/>
      <c r="F339" s="90"/>
      <c r="G339" s="105"/>
      <c r="H339" s="90"/>
      <c r="I339" s="90"/>
    </row>
    <row r="340" spans="1:9" ht="24.75" customHeight="1" thickBot="1" x14ac:dyDescent="0.25">
      <c r="A340" s="90"/>
      <c r="B340" s="90"/>
      <c r="C340" s="90"/>
      <c r="D340" s="90"/>
      <c r="E340" s="90"/>
      <c r="F340" s="90"/>
      <c r="G340" s="105"/>
      <c r="H340" s="90"/>
      <c r="I340" s="90"/>
    </row>
    <row r="341" spans="1:9" ht="24.75" customHeight="1" thickBot="1" x14ac:dyDescent="0.25">
      <c r="A341" s="90"/>
      <c r="B341" s="90"/>
      <c r="C341" s="90"/>
      <c r="D341" s="90"/>
      <c r="E341" s="90"/>
      <c r="F341" s="90"/>
      <c r="G341" s="105"/>
      <c r="H341" s="90"/>
      <c r="I341" s="90"/>
    </row>
    <row r="342" spans="1:9" ht="24.75" customHeight="1" thickBot="1" x14ac:dyDescent="0.25">
      <c r="A342" s="90"/>
      <c r="B342" s="90"/>
      <c r="C342" s="90"/>
      <c r="D342" s="90"/>
      <c r="E342" s="90"/>
      <c r="F342" s="90"/>
      <c r="G342" s="105"/>
      <c r="H342" s="90"/>
      <c r="I342" s="90"/>
    </row>
    <row r="343" spans="1:9" ht="24.75" customHeight="1" thickBot="1" x14ac:dyDescent="0.25">
      <c r="A343" s="90"/>
      <c r="B343" s="90"/>
      <c r="C343" s="90"/>
      <c r="D343" s="90"/>
      <c r="E343" s="90"/>
      <c r="F343" s="90"/>
      <c r="G343" s="105"/>
      <c r="H343" s="90"/>
      <c r="I343" s="90"/>
    </row>
    <row r="344" spans="1:9" ht="24.75" customHeight="1" thickBot="1" x14ac:dyDescent="0.25">
      <c r="A344" s="90"/>
      <c r="B344" s="90"/>
      <c r="C344" s="90"/>
      <c r="D344" s="90"/>
      <c r="E344" s="90"/>
      <c r="F344" s="90"/>
      <c r="G344" s="105"/>
      <c r="H344" s="90"/>
      <c r="I344" s="90"/>
    </row>
    <row r="345" spans="1:9" ht="24.75" customHeight="1" thickBot="1" x14ac:dyDescent="0.25">
      <c r="A345" s="90"/>
      <c r="B345" s="90"/>
      <c r="C345" s="90"/>
      <c r="D345" s="90"/>
      <c r="E345" s="90"/>
      <c r="F345" s="90"/>
      <c r="G345" s="105"/>
      <c r="H345" s="90"/>
      <c r="I345" s="90"/>
    </row>
    <row r="346" spans="1:9" ht="24.75" customHeight="1" thickBot="1" x14ac:dyDescent="0.25">
      <c r="A346" s="90"/>
      <c r="B346" s="90"/>
      <c r="C346" s="90"/>
      <c r="D346" s="90"/>
      <c r="E346" s="90"/>
      <c r="F346" s="90"/>
      <c r="G346" s="105"/>
      <c r="H346" s="90"/>
      <c r="I346" s="90"/>
    </row>
    <row r="347" spans="1:9" ht="24.75" customHeight="1" thickBot="1" x14ac:dyDescent="0.25">
      <c r="A347" s="90"/>
      <c r="B347" s="90"/>
      <c r="C347" s="90"/>
      <c r="D347" s="90"/>
      <c r="E347" s="90"/>
      <c r="F347" s="90"/>
      <c r="G347" s="105"/>
      <c r="H347" s="90"/>
      <c r="I347" s="90"/>
    </row>
    <row r="348" spans="1:9" ht="24.75" customHeight="1" thickBot="1" x14ac:dyDescent="0.25">
      <c r="A348" s="90"/>
      <c r="B348" s="90"/>
      <c r="C348" s="90"/>
      <c r="D348" s="90"/>
      <c r="E348" s="90"/>
      <c r="F348" s="90"/>
      <c r="G348" s="105"/>
      <c r="H348" s="90"/>
      <c r="I348" s="90"/>
    </row>
    <row r="349" spans="1:9" ht="24.75" customHeight="1" thickBot="1" x14ac:dyDescent="0.25">
      <c r="A349" s="90"/>
      <c r="B349" s="90"/>
      <c r="C349" s="90"/>
      <c r="D349" s="90"/>
      <c r="E349" s="90"/>
      <c r="F349" s="90"/>
      <c r="G349" s="105"/>
      <c r="H349" s="90"/>
      <c r="I349" s="90"/>
    </row>
    <row r="350" spans="1:9" ht="24.75" customHeight="1" thickBot="1" x14ac:dyDescent="0.25">
      <c r="A350" s="90"/>
      <c r="B350" s="90"/>
      <c r="C350" s="90"/>
      <c r="D350" s="90"/>
      <c r="E350" s="90"/>
      <c r="F350" s="90"/>
      <c r="G350" s="105"/>
      <c r="H350" s="90"/>
      <c r="I350" s="90"/>
    </row>
    <row r="351" spans="1:9" ht="24.75" customHeight="1" thickBot="1" x14ac:dyDescent="0.25">
      <c r="A351" s="90"/>
      <c r="B351" s="90"/>
      <c r="C351" s="90"/>
      <c r="D351" s="90"/>
      <c r="E351" s="90"/>
      <c r="F351" s="90"/>
      <c r="G351" s="105"/>
      <c r="H351" s="90"/>
      <c r="I351" s="90"/>
    </row>
    <row r="352" spans="1:9" ht="24.75" customHeight="1" thickBot="1" x14ac:dyDescent="0.25">
      <c r="A352" s="90"/>
      <c r="B352" s="90"/>
      <c r="C352" s="90"/>
      <c r="D352" s="90"/>
      <c r="E352" s="90"/>
      <c r="F352" s="90"/>
      <c r="G352" s="105"/>
      <c r="H352" s="90"/>
      <c r="I352" s="90"/>
    </row>
    <row r="353" spans="1:9" ht="24.75" customHeight="1" thickBot="1" x14ac:dyDescent="0.25">
      <c r="A353" s="90"/>
      <c r="B353" s="90"/>
      <c r="C353" s="90"/>
      <c r="D353" s="90"/>
      <c r="E353" s="90"/>
      <c r="F353" s="90"/>
      <c r="G353" s="105"/>
      <c r="H353" s="90"/>
      <c r="I353" s="90"/>
    </row>
    <row r="354" spans="1:9" ht="24.75" customHeight="1" thickBot="1" x14ac:dyDescent="0.25">
      <c r="A354" s="90"/>
      <c r="B354" s="90"/>
      <c r="C354" s="90"/>
      <c r="D354" s="90"/>
      <c r="E354" s="90"/>
      <c r="F354" s="90"/>
      <c r="G354" s="105"/>
      <c r="H354" s="90"/>
      <c r="I354" s="90"/>
    </row>
    <row r="355" spans="1:9" ht="24.75" customHeight="1" thickBot="1" x14ac:dyDescent="0.25">
      <c r="A355" s="90"/>
      <c r="B355" s="90"/>
      <c r="C355" s="90"/>
      <c r="D355" s="90"/>
      <c r="E355" s="90"/>
      <c r="F355" s="90"/>
      <c r="G355" s="105"/>
      <c r="H355" s="90"/>
      <c r="I355" s="90"/>
    </row>
    <row r="356" spans="1:9" ht="24.75" customHeight="1" thickBot="1" x14ac:dyDescent="0.25">
      <c r="A356" s="90"/>
      <c r="B356" s="90"/>
      <c r="C356" s="90"/>
      <c r="D356" s="90"/>
      <c r="E356" s="90"/>
      <c r="F356" s="90"/>
      <c r="G356" s="105"/>
      <c r="H356" s="90"/>
      <c r="I356" s="90"/>
    </row>
    <row r="357" spans="1:9" ht="24.75" customHeight="1" thickBot="1" x14ac:dyDescent="0.25">
      <c r="A357" s="90"/>
      <c r="B357" s="90"/>
      <c r="C357" s="90"/>
      <c r="D357" s="90"/>
      <c r="E357" s="90"/>
      <c r="F357" s="90"/>
      <c r="G357" s="105"/>
      <c r="H357" s="90"/>
      <c r="I357" s="90"/>
    </row>
    <row r="358" spans="1:9" ht="24.75" customHeight="1" thickBot="1" x14ac:dyDescent="0.25">
      <c r="A358" s="90"/>
      <c r="B358" s="90"/>
      <c r="C358" s="90"/>
      <c r="D358" s="90"/>
      <c r="E358" s="90"/>
      <c r="F358" s="90"/>
      <c r="G358" s="105"/>
      <c r="H358" s="90"/>
      <c r="I358" s="90"/>
    </row>
    <row r="359" spans="1:9" ht="24.75" customHeight="1" thickBot="1" x14ac:dyDescent="0.25">
      <c r="A359" s="90"/>
      <c r="B359" s="90"/>
      <c r="C359" s="90"/>
      <c r="D359" s="90"/>
      <c r="E359" s="90"/>
      <c r="F359" s="90"/>
      <c r="G359" s="105"/>
      <c r="H359" s="90"/>
      <c r="I359" s="90"/>
    </row>
    <row r="360" spans="1:9" ht="24.75" customHeight="1" thickBot="1" x14ac:dyDescent="0.25">
      <c r="A360" s="90"/>
      <c r="B360" s="90"/>
      <c r="C360" s="90"/>
      <c r="D360" s="90"/>
      <c r="E360" s="90"/>
      <c r="F360" s="90"/>
      <c r="G360" s="105"/>
      <c r="H360" s="90"/>
      <c r="I360" s="90"/>
    </row>
    <row r="361" spans="1:9" ht="24.75" customHeight="1" thickBot="1" x14ac:dyDescent="0.25">
      <c r="A361" s="90"/>
      <c r="B361" s="90"/>
      <c r="C361" s="90"/>
      <c r="D361" s="90"/>
      <c r="E361" s="90"/>
      <c r="F361" s="90"/>
      <c r="G361" s="105"/>
      <c r="H361" s="90"/>
      <c r="I361" s="90"/>
    </row>
    <row r="362" spans="1:9" ht="24.75" customHeight="1" thickBot="1" x14ac:dyDescent="0.25">
      <c r="A362" s="90"/>
      <c r="B362" s="90"/>
      <c r="C362" s="90"/>
      <c r="D362" s="90"/>
      <c r="E362" s="90"/>
      <c r="F362" s="90"/>
      <c r="G362" s="105"/>
      <c r="H362" s="90"/>
      <c r="I362" s="90"/>
    </row>
    <row r="363" spans="1:9" ht="24.75" customHeight="1" thickBot="1" x14ac:dyDescent="0.25">
      <c r="A363" s="90"/>
      <c r="B363" s="90"/>
      <c r="C363" s="90"/>
      <c r="D363" s="90"/>
      <c r="E363" s="90"/>
      <c r="F363" s="90"/>
      <c r="G363" s="105"/>
      <c r="H363" s="90"/>
      <c r="I363" s="90"/>
    </row>
    <row r="364" spans="1:9" ht="24.75" customHeight="1" thickBot="1" x14ac:dyDescent="0.25">
      <c r="A364" s="90"/>
      <c r="B364" s="90"/>
      <c r="C364" s="90"/>
      <c r="D364" s="90"/>
      <c r="E364" s="90"/>
      <c r="F364" s="90"/>
      <c r="G364" s="105"/>
      <c r="H364" s="90"/>
      <c r="I364" s="90"/>
    </row>
    <row r="365" spans="1:9" ht="24.75" customHeight="1" thickBot="1" x14ac:dyDescent="0.25">
      <c r="A365" s="90"/>
      <c r="B365" s="90"/>
      <c r="C365" s="90"/>
      <c r="D365" s="90"/>
      <c r="E365" s="90"/>
      <c r="F365" s="90"/>
      <c r="G365" s="105"/>
      <c r="H365" s="90"/>
      <c r="I365" s="90"/>
    </row>
    <row r="366" spans="1:9" ht="24.75" customHeight="1" thickBot="1" x14ac:dyDescent="0.25">
      <c r="A366" s="90"/>
      <c r="B366" s="90"/>
      <c r="C366" s="90"/>
      <c r="D366" s="90"/>
      <c r="E366" s="90"/>
      <c r="F366" s="90"/>
      <c r="G366" s="105"/>
      <c r="H366" s="90"/>
      <c r="I366" s="90"/>
    </row>
    <row r="367" spans="1:9" ht="24.75" customHeight="1" thickBot="1" x14ac:dyDescent="0.25">
      <c r="A367" s="90"/>
      <c r="B367" s="90"/>
      <c r="C367" s="90"/>
      <c r="D367" s="90"/>
      <c r="E367" s="90"/>
      <c r="F367" s="90"/>
      <c r="G367" s="105"/>
      <c r="H367" s="90"/>
      <c r="I367" s="90"/>
    </row>
    <row r="368" spans="1:9" ht="24.75" customHeight="1" thickBot="1" x14ac:dyDescent="0.25">
      <c r="A368" s="90"/>
      <c r="B368" s="90"/>
      <c r="C368" s="90"/>
      <c r="D368" s="90"/>
      <c r="E368" s="90"/>
      <c r="F368" s="90"/>
      <c r="G368" s="105"/>
      <c r="H368" s="90"/>
      <c r="I368" s="90"/>
    </row>
    <row r="369" spans="1:9" ht="24.75" customHeight="1" thickBot="1" x14ac:dyDescent="0.25">
      <c r="A369" s="90"/>
      <c r="B369" s="90"/>
      <c r="C369" s="90"/>
      <c r="D369" s="90"/>
      <c r="E369" s="90"/>
      <c r="F369" s="90"/>
      <c r="G369" s="105"/>
      <c r="H369" s="90"/>
      <c r="I369" s="90"/>
    </row>
    <row r="370" spans="1:9" ht="24.75" customHeight="1" thickBot="1" x14ac:dyDescent="0.25">
      <c r="A370" s="90"/>
      <c r="B370" s="90"/>
      <c r="C370" s="90"/>
      <c r="D370" s="90"/>
      <c r="E370" s="90"/>
      <c r="F370" s="90"/>
      <c r="G370" s="105"/>
      <c r="H370" s="90"/>
      <c r="I370" s="90"/>
    </row>
    <row r="371" spans="1:9" ht="24.75" customHeight="1" thickBot="1" x14ac:dyDescent="0.25">
      <c r="A371" s="90"/>
      <c r="B371" s="90"/>
      <c r="C371" s="90"/>
      <c r="D371" s="90"/>
      <c r="E371" s="90"/>
      <c r="F371" s="90"/>
      <c r="G371" s="105"/>
      <c r="H371" s="90"/>
      <c r="I371" s="90"/>
    </row>
    <row r="372" spans="1:9" ht="24.75" customHeight="1" thickBot="1" x14ac:dyDescent="0.25">
      <c r="A372" s="90"/>
      <c r="B372" s="90"/>
      <c r="C372" s="90"/>
      <c r="D372" s="90"/>
      <c r="E372" s="90"/>
      <c r="F372" s="90"/>
      <c r="G372" s="105"/>
      <c r="H372" s="90"/>
      <c r="I372" s="90"/>
    </row>
    <row r="373" spans="1:9" ht="24.75" customHeight="1" thickBot="1" x14ac:dyDescent="0.25">
      <c r="A373" s="90"/>
      <c r="B373" s="90"/>
      <c r="C373" s="90"/>
      <c r="D373" s="90"/>
      <c r="E373" s="90"/>
      <c r="F373" s="90"/>
      <c r="G373" s="105"/>
      <c r="H373" s="90"/>
      <c r="I373" s="90"/>
    </row>
    <row r="374" spans="1:9" ht="24.75" customHeight="1" thickBot="1" x14ac:dyDescent="0.25">
      <c r="A374" s="90"/>
      <c r="B374" s="90"/>
      <c r="C374" s="90"/>
      <c r="D374" s="90"/>
      <c r="E374" s="90"/>
      <c r="F374" s="90"/>
      <c r="G374" s="105"/>
      <c r="H374" s="90"/>
      <c r="I374" s="90"/>
    </row>
    <row r="375" spans="1:9" ht="24.75" customHeight="1" thickBot="1" x14ac:dyDescent="0.25">
      <c r="A375" s="90"/>
      <c r="B375" s="90"/>
      <c r="C375" s="90"/>
      <c r="D375" s="90"/>
      <c r="E375" s="90"/>
      <c r="F375" s="90"/>
      <c r="G375" s="105"/>
      <c r="H375" s="90"/>
      <c r="I375" s="90"/>
    </row>
    <row r="376" spans="1:9" ht="24.75" customHeight="1" thickBot="1" x14ac:dyDescent="0.25">
      <c r="A376" s="90"/>
      <c r="B376" s="90"/>
      <c r="C376" s="90"/>
      <c r="D376" s="90"/>
      <c r="E376" s="90"/>
      <c r="F376" s="90"/>
      <c r="G376" s="105"/>
      <c r="H376" s="90"/>
      <c r="I376" s="90"/>
    </row>
    <row r="377" spans="1:9" ht="24.75" customHeight="1" thickBot="1" x14ac:dyDescent="0.25">
      <c r="A377" s="90"/>
      <c r="B377" s="90"/>
      <c r="C377" s="90"/>
      <c r="D377" s="90"/>
      <c r="E377" s="90"/>
      <c r="F377" s="90"/>
      <c r="G377" s="105"/>
      <c r="H377" s="90"/>
      <c r="I377" s="90"/>
    </row>
    <row r="378" spans="1:9" ht="24.75" customHeight="1" thickBot="1" x14ac:dyDescent="0.25">
      <c r="A378" s="90"/>
      <c r="B378" s="90"/>
      <c r="C378" s="90"/>
      <c r="D378" s="90"/>
      <c r="E378" s="90"/>
      <c r="F378" s="90"/>
      <c r="G378" s="105"/>
      <c r="H378" s="90"/>
      <c r="I378" s="90"/>
    </row>
    <row r="379" spans="1:9" ht="24.75" customHeight="1" thickBot="1" x14ac:dyDescent="0.25">
      <c r="A379" s="90"/>
      <c r="B379" s="90"/>
      <c r="C379" s="90"/>
      <c r="D379" s="90"/>
      <c r="E379" s="90"/>
      <c r="F379" s="90"/>
      <c r="G379" s="105"/>
      <c r="H379" s="90"/>
      <c r="I379" s="90"/>
    </row>
    <row r="380" spans="1:9" ht="24.75" customHeight="1" thickBot="1" x14ac:dyDescent="0.25">
      <c r="A380" s="90"/>
      <c r="B380" s="90"/>
      <c r="C380" s="90"/>
      <c r="D380" s="90"/>
      <c r="E380" s="90"/>
      <c r="F380" s="90"/>
      <c r="G380" s="105"/>
      <c r="H380" s="90"/>
      <c r="I380" s="90"/>
    </row>
    <row r="381" spans="1:9" ht="24.75" customHeight="1" thickBot="1" x14ac:dyDescent="0.25">
      <c r="A381" s="90"/>
      <c r="B381" s="90"/>
      <c r="C381" s="90"/>
      <c r="D381" s="90"/>
      <c r="E381" s="90"/>
      <c r="F381" s="90"/>
      <c r="G381" s="105"/>
      <c r="H381" s="90"/>
      <c r="I381" s="90"/>
    </row>
    <row r="382" spans="1:9" ht="24.75" customHeight="1" thickBot="1" x14ac:dyDescent="0.25">
      <c r="A382" s="90"/>
      <c r="B382" s="90"/>
      <c r="C382" s="90"/>
      <c r="D382" s="90"/>
      <c r="E382" s="90"/>
      <c r="F382" s="90"/>
      <c r="G382" s="105"/>
      <c r="H382" s="90"/>
      <c r="I382" s="90"/>
    </row>
    <row r="383" spans="1:9" ht="24.75" customHeight="1" thickBot="1" x14ac:dyDescent="0.25">
      <c r="A383" s="90"/>
      <c r="B383" s="90"/>
      <c r="C383" s="90"/>
      <c r="D383" s="90"/>
      <c r="E383" s="90"/>
      <c r="F383" s="90"/>
      <c r="G383" s="105"/>
      <c r="H383" s="90"/>
      <c r="I383" s="90"/>
    </row>
    <row r="384" spans="1:9" ht="24.75" customHeight="1" thickBot="1" x14ac:dyDescent="0.25">
      <c r="A384" s="90"/>
      <c r="B384" s="90"/>
      <c r="C384" s="90"/>
      <c r="D384" s="90"/>
      <c r="E384" s="90"/>
      <c r="F384" s="90"/>
      <c r="G384" s="105"/>
      <c r="H384" s="90"/>
      <c r="I384" s="90"/>
    </row>
    <row r="385" spans="1:9" ht="24.75" customHeight="1" thickBot="1" x14ac:dyDescent="0.25">
      <c r="A385" s="90"/>
      <c r="B385" s="90"/>
      <c r="C385" s="90"/>
      <c r="D385" s="90"/>
      <c r="E385" s="90"/>
      <c r="F385" s="90"/>
      <c r="G385" s="105"/>
      <c r="H385" s="90"/>
      <c r="I385" s="90"/>
    </row>
    <row r="386" spans="1:9" ht="24.75" customHeight="1" thickBot="1" x14ac:dyDescent="0.25">
      <c r="A386" s="90"/>
      <c r="B386" s="90"/>
      <c r="C386" s="90"/>
      <c r="D386" s="90"/>
      <c r="E386" s="90"/>
      <c r="F386" s="90"/>
      <c r="G386" s="105"/>
      <c r="H386" s="90"/>
      <c r="I386" s="90"/>
    </row>
    <row r="387" spans="1:9" ht="24.75" customHeight="1" thickBot="1" x14ac:dyDescent="0.25">
      <c r="A387" s="90"/>
      <c r="B387" s="90"/>
      <c r="C387" s="90"/>
      <c r="D387" s="90"/>
      <c r="E387" s="90"/>
      <c r="F387" s="90"/>
      <c r="G387" s="105"/>
      <c r="H387" s="90"/>
      <c r="I387" s="90"/>
    </row>
    <row r="388" spans="1:9" ht="24.75" customHeight="1" thickBot="1" x14ac:dyDescent="0.25">
      <c r="A388" s="90"/>
      <c r="B388" s="90"/>
      <c r="C388" s="90"/>
      <c r="D388" s="90"/>
      <c r="E388" s="90"/>
      <c r="F388" s="90"/>
      <c r="G388" s="105"/>
      <c r="H388" s="90"/>
      <c r="I388" s="90"/>
    </row>
    <row r="389" spans="1:9" ht="24.75" customHeight="1" thickBot="1" x14ac:dyDescent="0.25">
      <c r="A389" s="90"/>
      <c r="B389" s="90"/>
      <c r="C389" s="90"/>
      <c r="D389" s="90"/>
      <c r="E389" s="90"/>
      <c r="F389" s="90"/>
      <c r="G389" s="105"/>
      <c r="H389" s="90"/>
      <c r="I389" s="90"/>
    </row>
    <row r="390" spans="1:9" ht="24.75" customHeight="1" thickBot="1" x14ac:dyDescent="0.25">
      <c r="A390" s="90"/>
      <c r="B390" s="90"/>
      <c r="C390" s="90"/>
      <c r="D390" s="90"/>
      <c r="E390" s="90"/>
      <c r="F390" s="90"/>
      <c r="G390" s="105"/>
      <c r="H390" s="90"/>
      <c r="I390" s="90"/>
    </row>
    <row r="391" spans="1:9" ht="24.75" customHeight="1" thickBot="1" x14ac:dyDescent="0.25">
      <c r="A391" s="90"/>
      <c r="B391" s="90"/>
      <c r="C391" s="90"/>
      <c r="D391" s="90"/>
      <c r="E391" s="90"/>
      <c r="F391" s="90"/>
      <c r="G391" s="105"/>
      <c r="H391" s="90"/>
      <c r="I391" s="90"/>
    </row>
    <row r="392" spans="1:9" ht="24.75" customHeight="1" thickBot="1" x14ac:dyDescent="0.25">
      <c r="A392" s="90"/>
      <c r="B392" s="90"/>
      <c r="C392" s="90"/>
      <c r="D392" s="90"/>
      <c r="E392" s="90"/>
      <c r="F392" s="90"/>
      <c r="G392" s="105"/>
      <c r="H392" s="90"/>
      <c r="I392" s="90"/>
    </row>
    <row r="393" spans="1:9" ht="24.75" customHeight="1" thickBot="1" x14ac:dyDescent="0.25">
      <c r="A393" s="90"/>
      <c r="B393" s="90"/>
      <c r="C393" s="90"/>
      <c r="D393" s="90"/>
      <c r="E393" s="90"/>
      <c r="F393" s="90"/>
      <c r="G393" s="105"/>
      <c r="H393" s="90"/>
      <c r="I393" s="90"/>
    </row>
    <row r="394" spans="1:9" ht="24.75" customHeight="1" thickBot="1" x14ac:dyDescent="0.25">
      <c r="A394" s="90"/>
      <c r="B394" s="90"/>
      <c r="C394" s="90"/>
      <c r="D394" s="90"/>
      <c r="E394" s="90"/>
      <c r="F394" s="90"/>
      <c r="G394" s="105"/>
      <c r="H394" s="90"/>
      <c r="I394" s="90"/>
    </row>
    <row r="395" spans="1:9" ht="24.75" customHeight="1" thickBot="1" x14ac:dyDescent="0.25">
      <c r="A395" s="90"/>
      <c r="B395" s="90"/>
      <c r="C395" s="90"/>
      <c r="D395" s="90"/>
      <c r="E395" s="90"/>
      <c r="F395" s="90"/>
      <c r="G395" s="105"/>
      <c r="H395" s="90"/>
      <c r="I395" s="90"/>
    </row>
    <row r="396" spans="1:9" ht="24.75" customHeight="1" thickBot="1" x14ac:dyDescent="0.25">
      <c r="A396" s="90"/>
      <c r="B396" s="90"/>
      <c r="C396" s="90"/>
      <c r="D396" s="90"/>
      <c r="E396" s="90"/>
      <c r="F396" s="90"/>
      <c r="G396" s="105"/>
      <c r="H396" s="90"/>
      <c r="I396" s="90"/>
    </row>
    <row r="397" spans="1:9" ht="24.75" customHeight="1" thickBot="1" x14ac:dyDescent="0.25">
      <c r="A397" s="90"/>
      <c r="B397" s="90"/>
      <c r="C397" s="90"/>
      <c r="D397" s="90"/>
      <c r="E397" s="90"/>
      <c r="F397" s="90"/>
      <c r="G397" s="105"/>
      <c r="H397" s="90"/>
      <c r="I397" s="90"/>
    </row>
    <row r="398" spans="1:9" ht="24.75" customHeight="1" thickBot="1" x14ac:dyDescent="0.25">
      <c r="A398" s="90"/>
      <c r="B398" s="90"/>
      <c r="C398" s="90"/>
      <c r="D398" s="90"/>
      <c r="E398" s="90"/>
      <c r="F398" s="90"/>
      <c r="G398" s="105"/>
      <c r="H398" s="90"/>
      <c r="I398" s="90"/>
    </row>
    <row r="399" spans="1:9" ht="24.75" customHeight="1" thickBot="1" x14ac:dyDescent="0.25">
      <c r="A399" s="90"/>
      <c r="B399" s="90"/>
      <c r="C399" s="90"/>
      <c r="D399" s="90"/>
      <c r="E399" s="90"/>
      <c r="F399" s="90"/>
      <c r="G399" s="105"/>
      <c r="H399" s="90"/>
      <c r="I399" s="90"/>
    </row>
    <row r="400" spans="1:9" ht="24.75" customHeight="1" thickBot="1" x14ac:dyDescent="0.25">
      <c r="A400" s="90"/>
      <c r="B400" s="90"/>
      <c r="C400" s="90"/>
      <c r="D400" s="90"/>
      <c r="E400" s="90"/>
      <c r="F400" s="90"/>
      <c r="G400" s="105"/>
      <c r="H400" s="90"/>
      <c r="I400" s="90"/>
    </row>
    <row r="401" spans="1:9" ht="24.75" customHeight="1" thickBot="1" x14ac:dyDescent="0.25">
      <c r="A401" s="90"/>
      <c r="B401" s="90"/>
      <c r="C401" s="90"/>
      <c r="D401" s="90"/>
      <c r="E401" s="90"/>
      <c r="F401" s="90"/>
      <c r="G401" s="105"/>
      <c r="H401" s="90"/>
      <c r="I401" s="90"/>
    </row>
    <row r="402" spans="1:9" ht="24.75" customHeight="1" thickBot="1" x14ac:dyDescent="0.25">
      <c r="A402" s="90"/>
      <c r="B402" s="90"/>
      <c r="C402" s="90"/>
      <c r="D402" s="90"/>
      <c r="E402" s="90"/>
      <c r="F402" s="90"/>
      <c r="G402" s="105"/>
      <c r="H402" s="90"/>
      <c r="I402" s="90"/>
    </row>
    <row r="403" spans="1:9" ht="24.75" customHeight="1" thickBot="1" x14ac:dyDescent="0.25">
      <c r="A403" s="90"/>
      <c r="B403" s="90"/>
      <c r="C403" s="90"/>
      <c r="D403" s="90"/>
      <c r="E403" s="90"/>
      <c r="F403" s="90"/>
      <c r="G403" s="105"/>
      <c r="H403" s="90"/>
      <c r="I403" s="90"/>
    </row>
    <row r="404" spans="1:9" ht="24.75" customHeight="1" thickBot="1" x14ac:dyDescent="0.25">
      <c r="A404" s="90"/>
      <c r="B404" s="90"/>
      <c r="C404" s="90"/>
      <c r="D404" s="90"/>
      <c r="E404" s="90"/>
      <c r="F404" s="90"/>
      <c r="G404" s="105"/>
      <c r="H404" s="90"/>
      <c r="I404" s="90"/>
    </row>
    <row r="405" spans="1:9" ht="24.75" customHeight="1" thickBot="1" x14ac:dyDescent="0.25">
      <c r="A405" s="90"/>
      <c r="B405" s="90"/>
      <c r="C405" s="90"/>
      <c r="D405" s="90"/>
      <c r="E405" s="90"/>
      <c r="F405" s="90"/>
      <c r="G405" s="105"/>
      <c r="H405" s="90"/>
      <c r="I405" s="90"/>
    </row>
    <row r="406" spans="1:9" ht="24.75" customHeight="1" thickBot="1" x14ac:dyDescent="0.25">
      <c r="A406" s="90"/>
      <c r="B406" s="90"/>
      <c r="C406" s="90"/>
      <c r="D406" s="90"/>
      <c r="E406" s="90"/>
      <c r="F406" s="90"/>
      <c r="G406" s="105"/>
      <c r="H406" s="90"/>
      <c r="I406" s="90"/>
    </row>
    <row r="407" spans="1:9" ht="24.75" customHeight="1" thickBot="1" x14ac:dyDescent="0.25">
      <c r="A407" s="90"/>
      <c r="B407" s="90"/>
      <c r="C407" s="90"/>
      <c r="D407" s="90"/>
      <c r="E407" s="90"/>
      <c r="F407" s="90"/>
      <c r="G407" s="105"/>
      <c r="H407" s="90"/>
      <c r="I407" s="90"/>
    </row>
    <row r="408" spans="1:9" ht="24.75" customHeight="1" thickBot="1" x14ac:dyDescent="0.25">
      <c r="A408" s="90"/>
      <c r="B408" s="90"/>
      <c r="C408" s="90"/>
      <c r="D408" s="90"/>
      <c r="E408" s="90"/>
      <c r="F408" s="90"/>
      <c r="G408" s="105"/>
      <c r="H408" s="90"/>
      <c r="I408" s="90"/>
    </row>
    <row r="409" spans="1:9" ht="24.75" customHeight="1" thickBot="1" x14ac:dyDescent="0.25">
      <c r="A409" s="90"/>
      <c r="B409" s="90"/>
      <c r="C409" s="90"/>
      <c r="D409" s="90"/>
      <c r="E409" s="90"/>
      <c r="F409" s="90"/>
      <c r="G409" s="105"/>
      <c r="H409" s="90"/>
      <c r="I409" s="90"/>
    </row>
    <row r="410" spans="1:9" ht="24.75" customHeight="1" thickBot="1" x14ac:dyDescent="0.25">
      <c r="A410" s="90"/>
      <c r="B410" s="90"/>
      <c r="C410" s="90"/>
      <c r="D410" s="90"/>
      <c r="E410" s="90"/>
      <c r="F410" s="90"/>
      <c r="G410" s="105"/>
      <c r="H410" s="90"/>
      <c r="I410" s="90"/>
    </row>
    <row r="411" spans="1:9" ht="24.75" customHeight="1" thickBot="1" x14ac:dyDescent="0.25">
      <c r="A411" s="90"/>
      <c r="B411" s="90"/>
      <c r="C411" s="90"/>
      <c r="D411" s="90"/>
      <c r="E411" s="90"/>
      <c r="F411" s="90"/>
      <c r="G411" s="105"/>
      <c r="H411" s="90"/>
      <c r="I411" s="90"/>
    </row>
    <row r="412" spans="1:9" ht="24.75" customHeight="1" thickBot="1" x14ac:dyDescent="0.25">
      <c r="A412" s="90"/>
      <c r="B412" s="90"/>
      <c r="C412" s="90"/>
      <c r="D412" s="90"/>
      <c r="E412" s="90"/>
      <c r="F412" s="90"/>
      <c r="G412" s="105"/>
      <c r="H412" s="90"/>
      <c r="I412" s="90"/>
    </row>
    <row r="413" spans="1:9" ht="24.75" customHeight="1" thickBot="1" x14ac:dyDescent="0.25">
      <c r="A413" s="90"/>
      <c r="B413" s="90"/>
      <c r="C413" s="90"/>
      <c r="D413" s="90"/>
      <c r="E413" s="90"/>
      <c r="F413" s="90"/>
      <c r="G413" s="105"/>
      <c r="H413" s="90"/>
      <c r="I413" s="90"/>
    </row>
    <row r="414" spans="1:9" ht="24.75" customHeight="1" thickBot="1" x14ac:dyDescent="0.25">
      <c r="A414" s="90"/>
      <c r="B414" s="90"/>
      <c r="C414" s="90"/>
      <c r="D414" s="90"/>
      <c r="E414" s="90"/>
      <c r="F414" s="90"/>
      <c r="G414" s="105"/>
      <c r="H414" s="90"/>
      <c r="I414" s="90"/>
    </row>
    <row r="415" spans="1:9" ht="24.75" customHeight="1" thickBot="1" x14ac:dyDescent="0.25">
      <c r="A415" s="90"/>
      <c r="B415" s="90"/>
      <c r="C415" s="90"/>
      <c r="D415" s="90"/>
      <c r="E415" s="90"/>
      <c r="F415" s="90"/>
      <c r="G415" s="105"/>
      <c r="H415" s="90"/>
      <c r="I415" s="90"/>
    </row>
    <row r="416" spans="1:9" ht="24.75" customHeight="1" thickBot="1" x14ac:dyDescent="0.25">
      <c r="A416" s="90"/>
      <c r="B416" s="90"/>
      <c r="C416" s="90"/>
      <c r="D416" s="90"/>
      <c r="E416" s="90"/>
      <c r="F416" s="90"/>
      <c r="G416" s="105"/>
      <c r="H416" s="90"/>
      <c r="I416" s="90"/>
    </row>
    <row r="417" spans="1:9" ht="24.75" customHeight="1" thickBot="1" x14ac:dyDescent="0.25">
      <c r="A417" s="90"/>
      <c r="B417" s="90"/>
      <c r="C417" s="90"/>
      <c r="D417" s="90"/>
      <c r="E417" s="90"/>
      <c r="F417" s="90"/>
      <c r="G417" s="105"/>
      <c r="H417" s="90"/>
      <c r="I417" s="90"/>
    </row>
    <row r="418" spans="1:9" ht="24.75" customHeight="1" thickBot="1" x14ac:dyDescent="0.25">
      <c r="A418" s="90"/>
      <c r="B418" s="90"/>
      <c r="C418" s="90"/>
      <c r="D418" s="90"/>
      <c r="E418" s="90"/>
      <c r="F418" s="90"/>
      <c r="G418" s="105"/>
      <c r="H418" s="90"/>
      <c r="I418" s="90"/>
    </row>
    <row r="419" spans="1:9" ht="24.75" customHeight="1" thickBot="1" x14ac:dyDescent="0.25">
      <c r="A419" s="90"/>
      <c r="B419" s="90"/>
      <c r="C419" s="90"/>
      <c r="D419" s="90"/>
      <c r="E419" s="90"/>
      <c r="F419" s="90"/>
      <c r="G419" s="105"/>
      <c r="H419" s="90"/>
      <c r="I419" s="90"/>
    </row>
    <row r="420" spans="1:9" ht="24.75" customHeight="1" thickBot="1" x14ac:dyDescent="0.25">
      <c r="A420" s="90"/>
      <c r="B420" s="90"/>
      <c r="C420" s="90"/>
      <c r="D420" s="90"/>
      <c r="E420" s="90"/>
      <c r="F420" s="90"/>
      <c r="G420" s="105"/>
      <c r="H420" s="90"/>
      <c r="I420" s="90"/>
    </row>
    <row r="421" spans="1:9" ht="24.75" customHeight="1" thickBot="1" x14ac:dyDescent="0.25">
      <c r="A421" s="90"/>
      <c r="B421" s="90"/>
      <c r="C421" s="90"/>
      <c r="D421" s="90"/>
      <c r="E421" s="90"/>
      <c r="F421" s="90"/>
      <c r="G421" s="105"/>
      <c r="H421" s="90"/>
      <c r="I421" s="90"/>
    </row>
    <row r="422" spans="1:9" ht="24.75" customHeight="1" thickBot="1" x14ac:dyDescent="0.25">
      <c r="A422" s="90"/>
      <c r="B422" s="90"/>
      <c r="C422" s="90"/>
      <c r="D422" s="90"/>
      <c r="E422" s="90"/>
      <c r="F422" s="90"/>
      <c r="G422" s="105"/>
      <c r="H422" s="90"/>
      <c r="I422" s="90"/>
    </row>
    <row r="423" spans="1:9" ht="24.75" customHeight="1" thickBot="1" x14ac:dyDescent="0.25">
      <c r="A423" s="90"/>
      <c r="B423" s="90"/>
      <c r="C423" s="90"/>
      <c r="D423" s="90"/>
      <c r="E423" s="90"/>
      <c r="F423" s="90"/>
      <c r="G423" s="105"/>
      <c r="H423" s="90"/>
      <c r="I423" s="90"/>
    </row>
    <row r="424" spans="1:9" ht="24.75" customHeight="1" thickBot="1" x14ac:dyDescent="0.25">
      <c r="A424" s="90"/>
      <c r="B424" s="90"/>
      <c r="C424" s="90"/>
      <c r="D424" s="90"/>
      <c r="E424" s="90"/>
      <c r="F424" s="90"/>
      <c r="G424" s="105"/>
      <c r="H424" s="90"/>
      <c r="I424" s="90"/>
    </row>
    <row r="425" spans="1:9" ht="24.75" customHeight="1" thickBot="1" x14ac:dyDescent="0.25">
      <c r="A425" s="90"/>
      <c r="B425" s="90"/>
      <c r="C425" s="90"/>
      <c r="D425" s="90"/>
      <c r="E425" s="90"/>
      <c r="F425" s="90"/>
      <c r="G425" s="105"/>
      <c r="H425" s="90"/>
      <c r="I425" s="90"/>
    </row>
    <row r="426" spans="1:9" ht="24.75" customHeight="1" thickBot="1" x14ac:dyDescent="0.25">
      <c r="A426" s="90"/>
      <c r="B426" s="90"/>
      <c r="C426" s="90"/>
      <c r="D426" s="90"/>
      <c r="E426" s="90"/>
      <c r="F426" s="90"/>
      <c r="G426" s="105"/>
      <c r="H426" s="90"/>
      <c r="I426" s="90"/>
    </row>
    <row r="427" spans="1:9" ht="24.75" customHeight="1" thickBot="1" x14ac:dyDescent="0.25">
      <c r="A427" s="90"/>
      <c r="B427" s="90"/>
      <c r="C427" s="90"/>
      <c r="D427" s="90"/>
      <c r="E427" s="90"/>
      <c r="F427" s="90"/>
      <c r="G427" s="105"/>
      <c r="H427" s="90"/>
      <c r="I427" s="90"/>
    </row>
    <row r="428" spans="1:9" ht="24.75" customHeight="1" thickBot="1" x14ac:dyDescent="0.25">
      <c r="A428" s="90"/>
      <c r="B428" s="90"/>
      <c r="C428" s="90"/>
      <c r="D428" s="90"/>
      <c r="E428" s="90"/>
      <c r="F428" s="90"/>
      <c r="G428" s="105"/>
      <c r="H428" s="90"/>
      <c r="I428" s="90"/>
    </row>
    <row r="429" spans="1:9" ht="24.75" customHeight="1" thickBot="1" x14ac:dyDescent="0.25">
      <c r="A429" s="90"/>
      <c r="B429" s="90"/>
      <c r="C429" s="90"/>
      <c r="D429" s="90"/>
      <c r="E429" s="90"/>
      <c r="F429" s="90"/>
      <c r="G429" s="105"/>
      <c r="H429" s="90"/>
      <c r="I429" s="90"/>
    </row>
    <row r="430" spans="1:9" ht="24.75" customHeight="1" thickBot="1" x14ac:dyDescent="0.25">
      <c r="A430" s="90"/>
      <c r="B430" s="90"/>
      <c r="C430" s="90"/>
      <c r="D430" s="90"/>
      <c r="E430" s="90"/>
      <c r="F430" s="90"/>
      <c r="G430" s="105"/>
      <c r="H430" s="90"/>
      <c r="I430" s="90"/>
    </row>
    <row r="431" spans="1:9" ht="24.75" customHeight="1" thickBot="1" x14ac:dyDescent="0.25">
      <c r="A431" s="90"/>
      <c r="B431" s="90"/>
      <c r="C431" s="90"/>
      <c r="D431" s="90"/>
      <c r="E431" s="90"/>
      <c r="F431" s="90"/>
      <c r="G431" s="105"/>
      <c r="H431" s="90"/>
      <c r="I431" s="90"/>
    </row>
    <row r="432" spans="1:9" ht="24.75" customHeight="1" thickBot="1" x14ac:dyDescent="0.25">
      <c r="A432" s="90"/>
      <c r="B432" s="90"/>
      <c r="C432" s="90"/>
      <c r="D432" s="90"/>
      <c r="E432" s="90"/>
      <c r="F432" s="90"/>
      <c r="G432" s="105"/>
      <c r="H432" s="90"/>
      <c r="I432" s="90"/>
    </row>
    <row r="433" spans="1:9" ht="24.75" customHeight="1" thickBot="1" x14ac:dyDescent="0.25">
      <c r="A433" s="90"/>
      <c r="B433" s="90"/>
      <c r="C433" s="90"/>
      <c r="D433" s="90"/>
      <c r="E433" s="90"/>
      <c r="F433" s="90"/>
      <c r="G433" s="105"/>
      <c r="H433" s="90"/>
      <c r="I433" s="90"/>
    </row>
    <row r="434" spans="1:9" ht="24.75" customHeight="1" thickBot="1" x14ac:dyDescent="0.25">
      <c r="A434" s="90"/>
      <c r="B434" s="90"/>
      <c r="C434" s="90"/>
      <c r="D434" s="90"/>
      <c r="E434" s="90"/>
      <c r="F434" s="90"/>
      <c r="G434" s="105"/>
      <c r="H434" s="90"/>
      <c r="I434" s="90"/>
    </row>
    <row r="435" spans="1:9" ht="24.75" customHeight="1" thickBot="1" x14ac:dyDescent="0.25">
      <c r="A435" s="90"/>
      <c r="B435" s="90"/>
      <c r="C435" s="90"/>
      <c r="D435" s="90"/>
      <c r="E435" s="90"/>
      <c r="F435" s="90"/>
      <c r="G435" s="105"/>
      <c r="H435" s="90"/>
      <c r="I435" s="90"/>
    </row>
    <row r="436" spans="1:9" ht="24.75" customHeight="1" thickBot="1" x14ac:dyDescent="0.25">
      <c r="A436" s="90"/>
      <c r="B436" s="90"/>
      <c r="C436" s="90"/>
      <c r="D436" s="90"/>
      <c r="E436" s="90"/>
      <c r="F436" s="90"/>
      <c r="G436" s="105"/>
      <c r="H436" s="90"/>
      <c r="I436" s="90"/>
    </row>
    <row r="437" spans="1:9" ht="24.75" customHeight="1" thickBot="1" x14ac:dyDescent="0.25">
      <c r="A437" s="90"/>
      <c r="B437" s="90"/>
      <c r="C437" s="90"/>
      <c r="D437" s="90"/>
      <c r="E437" s="90"/>
      <c r="F437" s="90"/>
      <c r="G437" s="105"/>
      <c r="H437" s="90"/>
      <c r="I437" s="90"/>
    </row>
    <row r="438" spans="1:9" ht="24.75" customHeight="1" thickBot="1" x14ac:dyDescent="0.25">
      <c r="A438" s="90"/>
      <c r="B438" s="90"/>
      <c r="C438" s="90"/>
      <c r="D438" s="90"/>
      <c r="E438" s="90"/>
      <c r="F438" s="90"/>
      <c r="G438" s="105"/>
      <c r="H438" s="90"/>
      <c r="I438" s="90"/>
    </row>
    <row r="439" spans="1:9" ht="24.75" customHeight="1" thickBot="1" x14ac:dyDescent="0.25">
      <c r="A439" s="90"/>
      <c r="B439" s="90"/>
      <c r="C439" s="90"/>
      <c r="D439" s="90"/>
      <c r="E439" s="90"/>
      <c r="F439" s="90"/>
      <c r="G439" s="105"/>
      <c r="H439" s="90"/>
      <c r="I439" s="90"/>
    </row>
    <row r="440" spans="1:9" ht="24.75" customHeight="1" thickBot="1" x14ac:dyDescent="0.25">
      <c r="A440" s="90"/>
      <c r="B440" s="90"/>
      <c r="C440" s="90"/>
      <c r="D440" s="90"/>
      <c r="E440" s="90"/>
      <c r="F440" s="90"/>
      <c r="G440" s="105"/>
      <c r="H440" s="90"/>
      <c r="I440" s="90"/>
    </row>
    <row r="441" spans="1:9" ht="24.75" customHeight="1" thickBot="1" x14ac:dyDescent="0.25">
      <c r="A441" s="90"/>
      <c r="B441" s="90"/>
      <c r="C441" s="90"/>
      <c r="D441" s="90"/>
      <c r="E441" s="90"/>
      <c r="F441" s="90"/>
      <c r="G441" s="105"/>
      <c r="H441" s="90"/>
      <c r="I441" s="90"/>
    </row>
    <row r="442" spans="1:9" ht="24.75" customHeight="1" thickBot="1" x14ac:dyDescent="0.25">
      <c r="A442" s="90"/>
      <c r="B442" s="90"/>
      <c r="C442" s="90"/>
      <c r="D442" s="90"/>
      <c r="E442" s="90"/>
      <c r="F442" s="90"/>
      <c r="G442" s="105"/>
      <c r="H442" s="90"/>
      <c r="I442" s="90"/>
    </row>
    <row r="443" spans="1:9" ht="24.75" customHeight="1" thickBot="1" x14ac:dyDescent="0.25">
      <c r="A443" s="90"/>
      <c r="B443" s="90"/>
      <c r="C443" s="90"/>
      <c r="D443" s="90"/>
      <c r="E443" s="90"/>
      <c r="F443" s="90"/>
      <c r="G443" s="105"/>
      <c r="H443" s="90"/>
      <c r="I443" s="90"/>
    </row>
    <row r="444" spans="1:9" ht="24.75" customHeight="1" thickBot="1" x14ac:dyDescent="0.25">
      <c r="A444" s="90"/>
      <c r="B444" s="90"/>
      <c r="C444" s="90"/>
      <c r="D444" s="90"/>
      <c r="E444" s="90"/>
      <c r="F444" s="90"/>
      <c r="G444" s="105"/>
      <c r="H444" s="90"/>
      <c r="I444" s="90"/>
    </row>
    <row r="445" spans="1:9" ht="24.75" customHeight="1" thickBot="1" x14ac:dyDescent="0.25">
      <c r="A445" s="90"/>
      <c r="B445" s="90"/>
      <c r="C445" s="90"/>
      <c r="D445" s="90"/>
      <c r="E445" s="90"/>
      <c r="F445" s="90"/>
      <c r="G445" s="105"/>
      <c r="H445" s="90"/>
      <c r="I445" s="90"/>
    </row>
    <row r="446" spans="1:9" ht="24.75" customHeight="1" thickBot="1" x14ac:dyDescent="0.25">
      <c r="A446" s="90"/>
      <c r="B446" s="90"/>
      <c r="C446" s="90"/>
      <c r="D446" s="90"/>
      <c r="E446" s="90"/>
      <c r="F446" s="90"/>
      <c r="G446" s="105"/>
      <c r="H446" s="90"/>
      <c r="I446" s="90"/>
    </row>
    <row r="447" spans="1:9" ht="24.75" customHeight="1" thickBot="1" x14ac:dyDescent="0.25">
      <c r="A447" s="90"/>
      <c r="B447" s="90"/>
      <c r="C447" s="90"/>
      <c r="D447" s="90"/>
      <c r="E447" s="90"/>
      <c r="F447" s="90"/>
      <c r="G447" s="105"/>
      <c r="H447" s="90"/>
      <c r="I447" s="90"/>
    </row>
    <row r="448" spans="1:9" ht="24.75" customHeight="1" thickBot="1" x14ac:dyDescent="0.25">
      <c r="A448" s="90"/>
      <c r="B448" s="90"/>
      <c r="C448" s="90"/>
      <c r="D448" s="90"/>
      <c r="E448" s="90"/>
      <c r="F448" s="90"/>
      <c r="G448" s="105"/>
      <c r="H448" s="90"/>
      <c r="I448" s="90"/>
    </row>
    <row r="449" spans="1:9" ht="24.75" customHeight="1" thickBot="1" x14ac:dyDescent="0.25">
      <c r="A449" s="90"/>
      <c r="B449" s="90"/>
      <c r="C449" s="90"/>
      <c r="D449" s="90"/>
      <c r="E449" s="90"/>
      <c r="F449" s="90"/>
      <c r="G449" s="105"/>
      <c r="H449" s="90"/>
      <c r="I449" s="90"/>
    </row>
    <row r="450" spans="1:9" ht="24.75" customHeight="1" thickBot="1" x14ac:dyDescent="0.25">
      <c r="A450" s="90"/>
      <c r="B450" s="90"/>
      <c r="C450" s="90"/>
      <c r="D450" s="90"/>
      <c r="E450" s="90"/>
      <c r="F450" s="90"/>
      <c r="G450" s="105"/>
      <c r="H450" s="90"/>
      <c r="I450" s="90"/>
    </row>
    <row r="451" spans="1:9" ht="24.75" customHeight="1" thickBot="1" x14ac:dyDescent="0.25">
      <c r="A451" s="90"/>
      <c r="B451" s="90"/>
      <c r="C451" s="90"/>
      <c r="D451" s="90"/>
      <c r="E451" s="90"/>
      <c r="F451" s="90"/>
      <c r="G451" s="105"/>
      <c r="H451" s="90"/>
      <c r="I451" s="90"/>
    </row>
    <row r="452" spans="1:9" ht="24.75" customHeight="1" thickBot="1" x14ac:dyDescent="0.25">
      <c r="A452" s="90"/>
      <c r="B452" s="90"/>
      <c r="C452" s="90"/>
      <c r="D452" s="90"/>
      <c r="E452" s="90"/>
      <c r="F452" s="90"/>
      <c r="G452" s="105"/>
      <c r="H452" s="90"/>
      <c r="I452" s="90"/>
    </row>
    <row r="453" spans="1:9" ht="24.75" customHeight="1" thickBot="1" x14ac:dyDescent="0.25">
      <c r="A453" s="90"/>
      <c r="B453" s="90"/>
      <c r="C453" s="90"/>
      <c r="D453" s="90"/>
      <c r="E453" s="90"/>
      <c r="F453" s="90"/>
      <c r="G453" s="105"/>
      <c r="H453" s="90"/>
      <c r="I453" s="90"/>
    </row>
    <row r="454" spans="1:9" ht="24.75" customHeight="1" thickBot="1" x14ac:dyDescent="0.25">
      <c r="A454" s="90"/>
      <c r="B454" s="90"/>
      <c r="C454" s="90"/>
      <c r="D454" s="90"/>
      <c r="E454" s="90"/>
      <c r="F454" s="90"/>
      <c r="G454" s="105"/>
      <c r="H454" s="90"/>
      <c r="I454" s="90"/>
    </row>
    <row r="455" spans="1:9" ht="24.75" customHeight="1" thickBot="1" x14ac:dyDescent="0.25">
      <c r="A455" s="90"/>
      <c r="B455" s="90"/>
      <c r="C455" s="90"/>
      <c r="D455" s="90"/>
      <c r="E455" s="90"/>
      <c r="F455" s="90"/>
      <c r="G455" s="105"/>
      <c r="H455" s="90"/>
      <c r="I455" s="90"/>
    </row>
    <row r="456" spans="1:9" ht="24.75" customHeight="1" thickBot="1" x14ac:dyDescent="0.25">
      <c r="A456" s="90"/>
      <c r="B456" s="90"/>
      <c r="C456" s="90"/>
      <c r="D456" s="90"/>
      <c r="E456" s="90"/>
      <c r="F456" s="90"/>
      <c r="G456" s="105"/>
      <c r="H456" s="90"/>
      <c r="I456" s="90"/>
    </row>
    <row r="457" spans="1:9" ht="24.75" customHeight="1" thickBot="1" x14ac:dyDescent="0.25">
      <c r="A457" s="90"/>
      <c r="B457" s="90"/>
      <c r="C457" s="90"/>
      <c r="D457" s="90"/>
      <c r="E457" s="90"/>
      <c r="F457" s="90"/>
      <c r="G457" s="105"/>
      <c r="H457" s="90"/>
      <c r="I457" s="90"/>
    </row>
    <row r="458" spans="1:9" ht="24.75" customHeight="1" thickBot="1" x14ac:dyDescent="0.25">
      <c r="A458" s="90"/>
      <c r="B458" s="90"/>
      <c r="C458" s="90"/>
      <c r="D458" s="90"/>
      <c r="E458" s="90"/>
      <c r="F458" s="90"/>
      <c r="G458" s="105"/>
      <c r="H458" s="90"/>
      <c r="I458" s="90"/>
    </row>
    <row r="459" spans="1:9" ht="24.75" customHeight="1" thickBot="1" x14ac:dyDescent="0.25">
      <c r="A459" s="90"/>
      <c r="B459" s="90"/>
      <c r="C459" s="90"/>
      <c r="D459" s="90"/>
      <c r="E459" s="90"/>
      <c r="F459" s="90"/>
      <c r="G459" s="105"/>
      <c r="H459" s="90"/>
      <c r="I459" s="90"/>
    </row>
    <row r="460" spans="1:9" ht="24.75" customHeight="1" thickBot="1" x14ac:dyDescent="0.25">
      <c r="A460" s="90"/>
      <c r="B460" s="90"/>
      <c r="C460" s="90"/>
      <c r="D460" s="90"/>
      <c r="E460" s="90"/>
      <c r="F460" s="90"/>
      <c r="G460" s="105"/>
      <c r="H460" s="90"/>
      <c r="I460" s="90"/>
    </row>
    <row r="461" spans="1:9" ht="24.75" customHeight="1" thickBot="1" x14ac:dyDescent="0.25">
      <c r="A461" s="90"/>
      <c r="B461" s="90"/>
      <c r="C461" s="90"/>
      <c r="D461" s="90"/>
      <c r="E461" s="90"/>
      <c r="F461" s="90"/>
      <c r="G461" s="105"/>
      <c r="H461" s="90"/>
      <c r="I461" s="90"/>
    </row>
    <row r="462" spans="1:9" ht="24.75" customHeight="1" thickBot="1" x14ac:dyDescent="0.25">
      <c r="A462" s="90"/>
      <c r="B462" s="90"/>
      <c r="C462" s="90"/>
      <c r="D462" s="90"/>
      <c r="E462" s="90"/>
      <c r="F462" s="90"/>
      <c r="G462" s="105"/>
      <c r="H462" s="90"/>
      <c r="I462" s="90"/>
    </row>
    <row r="463" spans="1:9" ht="24.75" customHeight="1" thickBot="1" x14ac:dyDescent="0.25">
      <c r="A463" s="90"/>
      <c r="B463" s="90"/>
      <c r="C463" s="90"/>
      <c r="D463" s="90"/>
      <c r="E463" s="90"/>
      <c r="F463" s="90"/>
      <c r="G463" s="105"/>
      <c r="H463" s="90"/>
      <c r="I463" s="90"/>
    </row>
    <row r="464" spans="1:9" ht="24.75" customHeight="1" thickBot="1" x14ac:dyDescent="0.25">
      <c r="A464" s="90"/>
      <c r="B464" s="90"/>
      <c r="C464" s="90"/>
      <c r="D464" s="90"/>
      <c r="E464" s="90"/>
      <c r="F464" s="90"/>
      <c r="G464" s="105"/>
      <c r="H464" s="90"/>
      <c r="I464" s="90"/>
    </row>
    <row r="465" spans="1:9" ht="24.75" customHeight="1" thickBot="1" x14ac:dyDescent="0.25">
      <c r="A465" s="90"/>
      <c r="B465" s="90"/>
      <c r="C465" s="90"/>
      <c r="D465" s="90"/>
      <c r="E465" s="90"/>
      <c r="F465" s="90"/>
      <c r="G465" s="105"/>
      <c r="H465" s="90"/>
      <c r="I465" s="90"/>
    </row>
    <row r="466" spans="1:9" ht="24.75" customHeight="1" thickBot="1" x14ac:dyDescent="0.25">
      <c r="A466" s="90"/>
      <c r="B466" s="90"/>
      <c r="C466" s="90"/>
      <c r="D466" s="90"/>
      <c r="E466" s="90"/>
      <c r="F466" s="90"/>
      <c r="G466" s="105"/>
      <c r="H466" s="90"/>
      <c r="I466" s="90"/>
    </row>
    <row r="467" spans="1:9" ht="24.75" customHeight="1" thickBot="1" x14ac:dyDescent="0.25">
      <c r="A467" s="90"/>
      <c r="B467" s="90"/>
      <c r="C467" s="90"/>
      <c r="D467" s="90"/>
      <c r="E467" s="90"/>
      <c r="F467" s="90"/>
      <c r="G467" s="105"/>
      <c r="H467" s="90"/>
      <c r="I467" s="90"/>
    </row>
    <row r="468" spans="1:9" ht="24.75" customHeight="1" thickBot="1" x14ac:dyDescent="0.25">
      <c r="A468" s="90"/>
      <c r="B468" s="90"/>
      <c r="C468" s="90"/>
      <c r="D468" s="90"/>
      <c r="E468" s="90"/>
      <c r="F468" s="90"/>
      <c r="G468" s="105"/>
      <c r="H468" s="90"/>
      <c r="I468" s="90"/>
    </row>
    <row r="469" spans="1:9" ht="24.75" customHeight="1" thickBot="1" x14ac:dyDescent="0.25">
      <c r="A469" s="90"/>
      <c r="B469" s="90"/>
      <c r="C469" s="90"/>
      <c r="D469" s="90"/>
      <c r="E469" s="90"/>
      <c r="F469" s="90"/>
      <c r="G469" s="105"/>
      <c r="H469" s="90"/>
      <c r="I469" s="90"/>
    </row>
    <row r="470" spans="1:9" ht="24.75" customHeight="1" thickBot="1" x14ac:dyDescent="0.25">
      <c r="A470" s="90"/>
      <c r="B470" s="90"/>
      <c r="C470" s="90"/>
      <c r="D470" s="90"/>
      <c r="E470" s="90"/>
      <c r="F470" s="90"/>
      <c r="G470" s="105"/>
      <c r="H470" s="90"/>
      <c r="I470" s="90"/>
    </row>
    <row r="471" spans="1:9" ht="24.75" customHeight="1" thickBot="1" x14ac:dyDescent="0.25">
      <c r="A471" s="90"/>
      <c r="B471" s="90"/>
      <c r="C471" s="90"/>
      <c r="D471" s="90"/>
      <c r="E471" s="90"/>
      <c r="F471" s="90"/>
      <c r="G471" s="105"/>
      <c r="H471" s="90"/>
      <c r="I471" s="90"/>
    </row>
    <row r="472" spans="1:9" ht="24.75" customHeight="1" thickBot="1" x14ac:dyDescent="0.25">
      <c r="A472" s="90"/>
      <c r="B472" s="90"/>
      <c r="C472" s="90"/>
      <c r="D472" s="90"/>
      <c r="E472" s="90"/>
      <c r="F472" s="90"/>
      <c r="G472" s="105"/>
      <c r="H472" s="90"/>
      <c r="I472" s="90"/>
    </row>
    <row r="473" spans="1:9" ht="24.75" customHeight="1" thickBot="1" x14ac:dyDescent="0.25">
      <c r="A473" s="90"/>
      <c r="B473" s="90"/>
      <c r="C473" s="90"/>
      <c r="D473" s="90"/>
      <c r="E473" s="90"/>
      <c r="F473" s="90"/>
      <c r="G473" s="105"/>
      <c r="H473" s="90"/>
      <c r="I473" s="90"/>
    </row>
    <row r="474" spans="1:9" ht="24.75" customHeight="1" thickBot="1" x14ac:dyDescent="0.25">
      <c r="A474" s="90"/>
      <c r="B474" s="90"/>
      <c r="C474" s="90"/>
      <c r="D474" s="90"/>
      <c r="E474" s="90"/>
      <c r="F474" s="90"/>
      <c r="G474" s="105"/>
      <c r="H474" s="90"/>
      <c r="I474" s="90"/>
    </row>
    <row r="475" spans="1:9" ht="24.75" customHeight="1" thickBot="1" x14ac:dyDescent="0.25">
      <c r="A475" s="90"/>
      <c r="B475" s="90"/>
      <c r="C475" s="90"/>
      <c r="D475" s="90"/>
      <c r="E475" s="90"/>
      <c r="F475" s="90"/>
      <c r="G475" s="105"/>
      <c r="H475" s="90"/>
      <c r="I475" s="90"/>
    </row>
    <row r="476" spans="1:9" ht="24.75" customHeight="1" thickBot="1" x14ac:dyDescent="0.25">
      <c r="A476" s="90"/>
      <c r="B476" s="90"/>
      <c r="C476" s="90"/>
      <c r="D476" s="90"/>
      <c r="E476" s="90"/>
      <c r="F476" s="90"/>
      <c r="G476" s="105"/>
      <c r="H476" s="90"/>
      <c r="I476" s="90"/>
    </row>
    <row r="477" spans="1:9" ht="24.75" customHeight="1" thickBot="1" x14ac:dyDescent="0.25">
      <c r="A477" s="90"/>
      <c r="B477" s="90"/>
      <c r="C477" s="90"/>
      <c r="D477" s="90"/>
      <c r="E477" s="90"/>
      <c r="F477" s="90"/>
      <c r="G477" s="105"/>
      <c r="H477" s="90"/>
      <c r="I477" s="90"/>
    </row>
    <row r="478" spans="1:9" ht="24.75" customHeight="1" thickBot="1" x14ac:dyDescent="0.25">
      <c r="A478" s="90"/>
      <c r="B478" s="90"/>
      <c r="C478" s="90"/>
      <c r="D478" s="90"/>
      <c r="E478" s="90"/>
      <c r="F478" s="90"/>
      <c r="G478" s="105"/>
      <c r="H478" s="90"/>
      <c r="I478" s="90"/>
    </row>
    <row r="479" spans="1:9" ht="24.75" customHeight="1" thickBot="1" x14ac:dyDescent="0.25">
      <c r="A479" s="90"/>
      <c r="B479" s="90"/>
      <c r="C479" s="90"/>
      <c r="D479" s="90"/>
      <c r="E479" s="90"/>
      <c r="F479" s="90"/>
      <c r="G479" s="105"/>
      <c r="H479" s="90"/>
      <c r="I479" s="90"/>
    </row>
    <row r="480" spans="1:9" ht="24.75" customHeight="1" thickBot="1" x14ac:dyDescent="0.25">
      <c r="A480" s="90"/>
      <c r="B480" s="90"/>
      <c r="C480" s="90"/>
      <c r="D480" s="90"/>
      <c r="E480" s="90"/>
      <c r="F480" s="90"/>
      <c r="G480" s="105"/>
      <c r="H480" s="90"/>
      <c r="I480" s="90"/>
    </row>
    <row r="481" spans="1:9" ht="24.75" customHeight="1" thickBot="1" x14ac:dyDescent="0.25">
      <c r="A481" s="90"/>
      <c r="B481" s="90"/>
      <c r="C481" s="90"/>
      <c r="D481" s="90"/>
      <c r="E481" s="90"/>
      <c r="F481" s="90"/>
      <c r="G481" s="105"/>
      <c r="H481" s="90"/>
      <c r="I481" s="90"/>
    </row>
    <row r="482" spans="1:9" ht="24.75" customHeight="1" thickBot="1" x14ac:dyDescent="0.25">
      <c r="A482" s="90"/>
      <c r="B482" s="90"/>
      <c r="C482" s="90"/>
      <c r="D482" s="90"/>
      <c r="E482" s="90"/>
      <c r="F482" s="90"/>
      <c r="G482" s="105"/>
      <c r="H482" s="90"/>
      <c r="I482" s="90"/>
    </row>
    <row r="483" spans="1:9" ht="24.75" customHeight="1" thickBot="1" x14ac:dyDescent="0.25">
      <c r="A483" s="90"/>
      <c r="B483" s="90"/>
      <c r="C483" s="90"/>
      <c r="D483" s="90"/>
      <c r="E483" s="90"/>
      <c r="F483" s="90"/>
      <c r="G483" s="105"/>
      <c r="H483" s="90"/>
      <c r="I483" s="90"/>
    </row>
    <row r="484" spans="1:9" ht="24.75" customHeight="1" thickBot="1" x14ac:dyDescent="0.25">
      <c r="A484" s="90"/>
      <c r="B484" s="90"/>
      <c r="C484" s="90"/>
      <c r="D484" s="90"/>
      <c r="E484" s="90"/>
      <c r="F484" s="90"/>
      <c r="G484" s="105"/>
      <c r="H484" s="90"/>
      <c r="I484" s="90"/>
    </row>
    <row r="485" spans="1:9" ht="24.75" customHeight="1" thickBot="1" x14ac:dyDescent="0.25">
      <c r="A485" s="90"/>
      <c r="B485" s="90"/>
      <c r="C485" s="90"/>
      <c r="D485" s="90"/>
      <c r="E485" s="90"/>
      <c r="F485" s="90"/>
      <c r="G485" s="105"/>
      <c r="H485" s="90"/>
      <c r="I485" s="90"/>
    </row>
    <row r="486" spans="1:9" ht="24.75" customHeight="1" thickBot="1" x14ac:dyDescent="0.25">
      <c r="A486" s="90"/>
      <c r="B486" s="90"/>
      <c r="C486" s="90"/>
      <c r="D486" s="90"/>
      <c r="E486" s="90"/>
      <c r="F486" s="90"/>
      <c r="G486" s="105"/>
      <c r="H486" s="90"/>
      <c r="I486" s="90"/>
    </row>
    <row r="487" spans="1:9" ht="24.75" customHeight="1" thickBot="1" x14ac:dyDescent="0.25">
      <c r="A487" s="90"/>
      <c r="B487" s="90"/>
      <c r="C487" s="90"/>
      <c r="D487" s="90"/>
      <c r="E487" s="90"/>
      <c r="F487" s="90"/>
      <c r="G487" s="105"/>
      <c r="H487" s="90"/>
      <c r="I487" s="90"/>
    </row>
    <row r="488" spans="1:9" ht="24.75" customHeight="1" thickBot="1" x14ac:dyDescent="0.25">
      <c r="A488" s="90"/>
      <c r="B488" s="90"/>
      <c r="C488" s="90"/>
      <c r="D488" s="90"/>
      <c r="E488" s="90"/>
      <c r="F488" s="90"/>
      <c r="G488" s="105"/>
      <c r="H488" s="90"/>
      <c r="I488" s="90"/>
    </row>
    <row r="489" spans="1:9" ht="24.75" customHeight="1" thickBot="1" x14ac:dyDescent="0.25">
      <c r="A489" s="90"/>
      <c r="B489" s="90"/>
      <c r="C489" s="90"/>
      <c r="D489" s="90"/>
      <c r="E489" s="90"/>
      <c r="F489" s="90"/>
      <c r="G489" s="105"/>
      <c r="H489" s="90"/>
      <c r="I489" s="90"/>
    </row>
    <row r="490" spans="1:9" ht="24.75" customHeight="1" thickBot="1" x14ac:dyDescent="0.25">
      <c r="A490" s="90"/>
      <c r="B490" s="90"/>
      <c r="C490" s="90"/>
      <c r="D490" s="90"/>
      <c r="E490" s="90"/>
      <c r="F490" s="90"/>
      <c r="G490" s="105"/>
      <c r="H490" s="90"/>
      <c r="I490" s="90"/>
    </row>
    <row r="491" spans="1:9" ht="24.75" customHeight="1" thickBot="1" x14ac:dyDescent="0.25">
      <c r="A491" s="90"/>
      <c r="B491" s="90"/>
      <c r="C491" s="90"/>
      <c r="D491" s="90"/>
      <c r="E491" s="90"/>
      <c r="F491" s="90"/>
      <c r="G491" s="105"/>
      <c r="H491" s="90"/>
      <c r="I491" s="90"/>
    </row>
    <row r="492" spans="1:9" ht="24.75" customHeight="1" thickBot="1" x14ac:dyDescent="0.25">
      <c r="A492" s="90"/>
      <c r="B492" s="90"/>
      <c r="C492" s="90"/>
      <c r="D492" s="90"/>
      <c r="E492" s="90"/>
      <c r="F492" s="90"/>
      <c r="G492" s="105"/>
      <c r="H492" s="90"/>
      <c r="I492" s="90"/>
    </row>
    <row r="493" spans="1:9" ht="24.75" customHeight="1" thickBot="1" x14ac:dyDescent="0.25">
      <c r="A493" s="90"/>
      <c r="B493" s="90"/>
      <c r="C493" s="90"/>
      <c r="D493" s="90"/>
      <c r="E493" s="90"/>
      <c r="F493" s="90"/>
      <c r="G493" s="105"/>
      <c r="H493" s="90"/>
      <c r="I493" s="90"/>
    </row>
    <row r="494" spans="1:9" ht="24.75" customHeight="1" thickBot="1" x14ac:dyDescent="0.25">
      <c r="A494" s="90"/>
      <c r="B494" s="90"/>
      <c r="C494" s="90"/>
      <c r="D494" s="90"/>
      <c r="E494" s="90"/>
      <c r="F494" s="90"/>
      <c r="G494" s="105"/>
      <c r="H494" s="90"/>
      <c r="I494" s="90"/>
    </row>
    <row r="495" spans="1:9" ht="24.75" customHeight="1" thickBot="1" x14ac:dyDescent="0.25">
      <c r="A495" s="90"/>
      <c r="B495" s="90"/>
      <c r="C495" s="90"/>
      <c r="D495" s="90"/>
      <c r="E495" s="90"/>
      <c r="F495" s="90"/>
      <c r="G495" s="105"/>
      <c r="H495" s="90"/>
      <c r="I495" s="90"/>
    </row>
    <row r="496" spans="1:9" ht="24.75" customHeight="1" thickBot="1" x14ac:dyDescent="0.25">
      <c r="A496" s="90"/>
      <c r="B496" s="90"/>
      <c r="C496" s="90"/>
      <c r="D496" s="90"/>
      <c r="E496" s="90"/>
      <c r="F496" s="90"/>
      <c r="G496" s="105"/>
      <c r="H496" s="90"/>
      <c r="I496" s="90"/>
    </row>
    <row r="497" spans="1:9" ht="24.75" customHeight="1" thickBot="1" x14ac:dyDescent="0.25">
      <c r="A497" s="90"/>
      <c r="B497" s="90"/>
      <c r="C497" s="90"/>
      <c r="D497" s="90"/>
      <c r="E497" s="90"/>
      <c r="F497" s="90"/>
      <c r="G497" s="105"/>
      <c r="H497" s="90"/>
      <c r="I497" s="90"/>
    </row>
    <row r="498" spans="1:9" ht="24.75" customHeight="1" thickBot="1" x14ac:dyDescent="0.25">
      <c r="A498" s="90"/>
      <c r="B498" s="90"/>
      <c r="C498" s="90"/>
      <c r="D498" s="90"/>
      <c r="E498" s="90"/>
      <c r="F498" s="90"/>
      <c r="G498" s="105"/>
      <c r="H498" s="90"/>
      <c r="I498" s="90"/>
    </row>
    <row r="499" spans="1:9" ht="24.75" customHeight="1" thickBot="1" x14ac:dyDescent="0.25">
      <c r="A499" s="90"/>
      <c r="B499" s="90"/>
      <c r="C499" s="90"/>
      <c r="D499" s="90"/>
      <c r="E499" s="90"/>
      <c r="F499" s="90"/>
      <c r="G499" s="105"/>
      <c r="H499" s="90"/>
      <c r="I499" s="90"/>
    </row>
    <row r="500" spans="1:9" ht="24.75" customHeight="1" thickBot="1" x14ac:dyDescent="0.25">
      <c r="A500" s="90"/>
      <c r="B500" s="90"/>
      <c r="C500" s="90"/>
      <c r="D500" s="90"/>
      <c r="E500" s="90"/>
      <c r="F500" s="90"/>
      <c r="G500" s="105"/>
      <c r="H500" s="90"/>
      <c r="I500" s="90"/>
    </row>
    <row r="501" spans="1:9" ht="24.75" customHeight="1" thickBot="1" x14ac:dyDescent="0.25">
      <c r="A501" s="90"/>
      <c r="B501" s="90"/>
      <c r="C501" s="90"/>
      <c r="D501" s="90"/>
      <c r="E501" s="90"/>
      <c r="F501" s="90"/>
      <c r="G501" s="105"/>
      <c r="H501" s="90"/>
      <c r="I501" s="90"/>
    </row>
    <row r="502" spans="1:9" ht="24.75" customHeight="1" thickBot="1" x14ac:dyDescent="0.25">
      <c r="A502" s="90"/>
      <c r="B502" s="90"/>
      <c r="C502" s="90"/>
      <c r="D502" s="90"/>
      <c r="E502" s="90"/>
      <c r="F502" s="90"/>
      <c r="G502" s="105"/>
      <c r="H502" s="90"/>
      <c r="I502" s="90"/>
    </row>
    <row r="503" spans="1:9" ht="24.75" customHeight="1" thickBot="1" x14ac:dyDescent="0.25">
      <c r="A503" s="90"/>
      <c r="B503" s="90"/>
      <c r="C503" s="90"/>
      <c r="D503" s="90"/>
      <c r="E503" s="90"/>
      <c r="F503" s="90"/>
      <c r="G503" s="105"/>
      <c r="H503" s="90"/>
      <c r="I503" s="90"/>
    </row>
    <row r="504" spans="1:9" ht="24.75" customHeight="1" thickBot="1" x14ac:dyDescent="0.25">
      <c r="A504" s="90"/>
      <c r="B504" s="90"/>
      <c r="C504" s="90"/>
      <c r="D504" s="90"/>
      <c r="E504" s="90"/>
      <c r="F504" s="90"/>
      <c r="G504" s="105"/>
      <c r="H504" s="90"/>
      <c r="I504" s="90"/>
    </row>
    <row r="505" spans="1:9" ht="24.75" customHeight="1" thickBot="1" x14ac:dyDescent="0.25">
      <c r="A505" s="90"/>
      <c r="B505" s="90"/>
      <c r="C505" s="90"/>
      <c r="D505" s="90"/>
      <c r="E505" s="90"/>
      <c r="F505" s="90"/>
      <c r="G505" s="105"/>
      <c r="H505" s="90"/>
      <c r="I505" s="90"/>
    </row>
    <row r="506" spans="1:9" ht="24.75" customHeight="1" thickBot="1" x14ac:dyDescent="0.25">
      <c r="A506" s="90"/>
      <c r="B506" s="90"/>
      <c r="C506" s="90"/>
      <c r="D506" s="90"/>
      <c r="E506" s="90"/>
      <c r="F506" s="90"/>
      <c r="G506" s="105"/>
      <c r="H506" s="90"/>
      <c r="I506" s="90"/>
    </row>
    <row r="507" spans="1:9" ht="24.75" customHeight="1" thickBot="1" x14ac:dyDescent="0.25">
      <c r="A507" s="90"/>
      <c r="B507" s="90"/>
      <c r="C507" s="90"/>
      <c r="D507" s="90"/>
      <c r="E507" s="90"/>
      <c r="F507" s="90"/>
      <c r="G507" s="105"/>
      <c r="H507" s="90"/>
      <c r="I507" s="90"/>
    </row>
    <row r="508" spans="1:9" ht="24.75" customHeight="1" thickBot="1" x14ac:dyDescent="0.25">
      <c r="A508" s="90"/>
      <c r="B508" s="90"/>
      <c r="C508" s="90"/>
      <c r="D508" s="90"/>
      <c r="E508" s="90"/>
      <c r="F508" s="90"/>
      <c r="G508" s="105"/>
      <c r="H508" s="90"/>
      <c r="I508" s="90"/>
    </row>
    <row r="509" spans="1:9" ht="24.75" customHeight="1" thickBot="1" x14ac:dyDescent="0.25">
      <c r="A509" s="90"/>
      <c r="B509" s="90"/>
      <c r="C509" s="90"/>
      <c r="D509" s="90"/>
      <c r="E509" s="90"/>
      <c r="F509" s="90"/>
      <c r="G509" s="105"/>
      <c r="H509" s="90"/>
      <c r="I509" s="90"/>
    </row>
    <row r="510" spans="1:9" ht="24.75" customHeight="1" thickBot="1" x14ac:dyDescent="0.25">
      <c r="A510" s="90"/>
      <c r="B510" s="90"/>
      <c r="C510" s="90"/>
      <c r="D510" s="90"/>
      <c r="E510" s="90"/>
      <c r="F510" s="90"/>
      <c r="G510" s="105"/>
      <c r="H510" s="90"/>
      <c r="I510" s="90"/>
    </row>
    <row r="511" spans="1:9" ht="24.75" customHeight="1" thickBot="1" x14ac:dyDescent="0.25">
      <c r="A511" s="90"/>
      <c r="B511" s="90"/>
      <c r="C511" s="90"/>
      <c r="D511" s="90"/>
      <c r="E511" s="90"/>
      <c r="F511" s="90"/>
      <c r="G511" s="105"/>
      <c r="H511" s="90"/>
      <c r="I511" s="90"/>
    </row>
    <row r="512" spans="1:9" ht="24.75" customHeight="1" thickBot="1" x14ac:dyDescent="0.25">
      <c r="A512" s="90"/>
      <c r="B512" s="90"/>
      <c r="C512" s="90"/>
      <c r="D512" s="90"/>
      <c r="E512" s="90"/>
      <c r="F512" s="90"/>
      <c r="G512" s="105"/>
      <c r="H512" s="90"/>
      <c r="I512" s="90"/>
    </row>
    <row r="513" spans="1:9" ht="24.75" customHeight="1" thickBot="1" x14ac:dyDescent="0.25">
      <c r="A513" s="90"/>
      <c r="B513" s="90"/>
      <c r="C513" s="90"/>
      <c r="D513" s="90"/>
      <c r="E513" s="90"/>
      <c r="F513" s="90"/>
      <c r="G513" s="105"/>
      <c r="H513" s="90"/>
      <c r="I513" s="90"/>
    </row>
    <row r="514" spans="1:9" ht="24.75" customHeight="1" thickBot="1" x14ac:dyDescent="0.25">
      <c r="A514" s="90"/>
      <c r="B514" s="90"/>
      <c r="C514" s="90"/>
      <c r="D514" s="90"/>
      <c r="E514" s="90"/>
      <c r="F514" s="90"/>
      <c r="G514" s="105"/>
      <c r="H514" s="90"/>
      <c r="I514" s="90"/>
    </row>
    <row r="515" spans="1:9" ht="24.75" customHeight="1" thickBot="1" x14ac:dyDescent="0.25">
      <c r="A515" s="90"/>
      <c r="B515" s="90"/>
      <c r="C515" s="90"/>
      <c r="D515" s="90"/>
      <c r="E515" s="90"/>
      <c r="F515" s="90"/>
      <c r="G515" s="105"/>
      <c r="H515" s="90"/>
      <c r="I515" s="90"/>
    </row>
    <row r="516" spans="1:9" ht="24.75" customHeight="1" thickBot="1" x14ac:dyDescent="0.25">
      <c r="A516" s="90"/>
      <c r="B516" s="90"/>
      <c r="C516" s="90"/>
      <c r="D516" s="90"/>
      <c r="E516" s="90"/>
      <c r="F516" s="90"/>
      <c r="G516" s="105"/>
      <c r="H516" s="90"/>
      <c r="I516" s="90"/>
    </row>
    <row r="517" spans="1:9" ht="24.75" customHeight="1" thickBot="1" x14ac:dyDescent="0.25">
      <c r="A517" s="90"/>
      <c r="B517" s="90"/>
      <c r="C517" s="90"/>
      <c r="D517" s="90"/>
      <c r="E517" s="90"/>
      <c r="F517" s="90"/>
      <c r="G517" s="105"/>
      <c r="H517" s="90"/>
      <c r="I517" s="90"/>
    </row>
    <row r="518" spans="1:9" ht="24.75" customHeight="1" thickBot="1" x14ac:dyDescent="0.25">
      <c r="A518" s="90"/>
      <c r="B518" s="90"/>
      <c r="C518" s="90"/>
      <c r="D518" s="90"/>
      <c r="E518" s="90"/>
      <c r="F518" s="90"/>
      <c r="G518" s="105"/>
      <c r="H518" s="90"/>
      <c r="I518" s="90"/>
    </row>
    <row r="519" spans="1:9" ht="24.75" customHeight="1" thickBot="1" x14ac:dyDescent="0.25">
      <c r="A519" s="90"/>
      <c r="B519" s="90"/>
      <c r="C519" s="90"/>
      <c r="D519" s="90"/>
      <c r="E519" s="90"/>
      <c r="F519" s="90"/>
      <c r="G519" s="105"/>
      <c r="H519" s="90"/>
      <c r="I519" s="90"/>
    </row>
    <row r="520" spans="1:9" ht="24.75" customHeight="1" thickBot="1" x14ac:dyDescent="0.25">
      <c r="A520" s="90"/>
      <c r="B520" s="90"/>
      <c r="C520" s="90"/>
      <c r="D520" s="90"/>
      <c r="E520" s="90"/>
      <c r="F520" s="90"/>
      <c r="G520" s="105"/>
      <c r="H520" s="90"/>
      <c r="I520" s="90"/>
    </row>
    <row r="521" spans="1:9" ht="24.75" customHeight="1" thickBot="1" x14ac:dyDescent="0.25">
      <c r="A521" s="90"/>
      <c r="B521" s="90"/>
      <c r="C521" s="90"/>
      <c r="D521" s="90"/>
      <c r="E521" s="90"/>
      <c r="F521" s="90"/>
      <c r="G521" s="105"/>
      <c r="H521" s="90"/>
      <c r="I521" s="90"/>
    </row>
    <row r="522" spans="1:9" ht="24.75" customHeight="1" thickBot="1" x14ac:dyDescent="0.25">
      <c r="A522" s="90"/>
      <c r="B522" s="90"/>
      <c r="C522" s="90"/>
      <c r="D522" s="90"/>
      <c r="E522" s="90"/>
      <c r="F522" s="90"/>
      <c r="G522" s="105"/>
      <c r="H522" s="90"/>
      <c r="I522" s="90"/>
    </row>
    <row r="523" spans="1:9" ht="24.75" customHeight="1" thickBot="1" x14ac:dyDescent="0.25">
      <c r="A523" s="90"/>
      <c r="B523" s="90"/>
      <c r="C523" s="90"/>
      <c r="D523" s="90"/>
      <c r="E523" s="90"/>
      <c r="F523" s="90"/>
      <c r="G523" s="105"/>
      <c r="H523" s="90"/>
      <c r="I523" s="90"/>
    </row>
    <row r="524" spans="1:9" ht="24.75" customHeight="1" thickBot="1" x14ac:dyDescent="0.25">
      <c r="A524" s="90"/>
      <c r="B524" s="90"/>
      <c r="C524" s="90"/>
      <c r="D524" s="90"/>
      <c r="E524" s="90"/>
      <c r="F524" s="90"/>
      <c r="G524" s="105"/>
      <c r="H524" s="90"/>
      <c r="I524" s="90"/>
    </row>
    <row r="525" spans="1:9" ht="24.75" customHeight="1" thickBot="1" x14ac:dyDescent="0.25">
      <c r="A525" s="90"/>
      <c r="B525" s="90"/>
      <c r="C525" s="90"/>
      <c r="D525" s="90"/>
      <c r="E525" s="90"/>
      <c r="F525" s="90"/>
      <c r="G525" s="105"/>
      <c r="H525" s="90"/>
      <c r="I525" s="90"/>
    </row>
    <row r="526" spans="1:9" ht="24.75" customHeight="1" thickBot="1" x14ac:dyDescent="0.25">
      <c r="A526" s="90"/>
      <c r="B526" s="90"/>
      <c r="C526" s="90"/>
      <c r="D526" s="90"/>
      <c r="E526" s="90"/>
      <c r="F526" s="90"/>
      <c r="G526" s="105"/>
      <c r="H526" s="90"/>
      <c r="I526" s="90"/>
    </row>
    <row r="527" spans="1:9" ht="24.75" customHeight="1" thickBot="1" x14ac:dyDescent="0.25">
      <c r="A527" s="90"/>
      <c r="B527" s="90"/>
      <c r="C527" s="90"/>
      <c r="D527" s="90"/>
      <c r="E527" s="90"/>
      <c r="F527" s="90"/>
      <c r="G527" s="105"/>
      <c r="H527" s="90"/>
      <c r="I527" s="90"/>
    </row>
    <row r="528" spans="1:9" ht="24.75" customHeight="1" thickBot="1" x14ac:dyDescent="0.25">
      <c r="A528" s="90"/>
      <c r="B528" s="90"/>
      <c r="C528" s="90"/>
      <c r="D528" s="90"/>
      <c r="E528" s="90"/>
      <c r="F528" s="90"/>
      <c r="G528" s="105"/>
      <c r="H528" s="90"/>
      <c r="I528" s="90"/>
    </row>
    <row r="529" spans="1:9" ht="24.75" customHeight="1" thickBot="1" x14ac:dyDescent="0.25">
      <c r="A529" s="90"/>
      <c r="B529" s="90"/>
      <c r="C529" s="90"/>
      <c r="D529" s="90"/>
      <c r="E529" s="90"/>
      <c r="F529" s="90"/>
      <c r="G529" s="105"/>
      <c r="H529" s="90"/>
      <c r="I529" s="90"/>
    </row>
    <row r="530" spans="1:9" ht="24.75" customHeight="1" thickBot="1" x14ac:dyDescent="0.25">
      <c r="A530" s="90"/>
      <c r="B530" s="90"/>
      <c r="C530" s="90"/>
      <c r="D530" s="90"/>
      <c r="E530" s="90"/>
      <c r="F530" s="90"/>
      <c r="G530" s="105"/>
      <c r="H530" s="90"/>
      <c r="I530" s="90"/>
    </row>
    <row r="531" spans="1:9" ht="24.75" customHeight="1" thickBot="1" x14ac:dyDescent="0.25">
      <c r="A531" s="90"/>
      <c r="B531" s="90"/>
      <c r="C531" s="90"/>
      <c r="D531" s="90"/>
      <c r="E531" s="90"/>
      <c r="F531" s="90"/>
      <c r="G531" s="105"/>
      <c r="H531" s="90"/>
      <c r="I531" s="90"/>
    </row>
    <row r="532" spans="1:9" ht="24.75" customHeight="1" thickBot="1" x14ac:dyDescent="0.25">
      <c r="A532" s="90"/>
      <c r="B532" s="90"/>
      <c r="C532" s="90"/>
      <c r="D532" s="90"/>
      <c r="E532" s="90"/>
      <c r="F532" s="90"/>
      <c r="G532" s="105"/>
      <c r="H532" s="90"/>
      <c r="I532" s="90"/>
    </row>
    <row r="533" spans="1:9" ht="24.75" customHeight="1" thickBot="1" x14ac:dyDescent="0.25">
      <c r="A533" s="90"/>
      <c r="B533" s="90"/>
      <c r="C533" s="90"/>
      <c r="D533" s="90"/>
      <c r="E533" s="90"/>
      <c r="F533" s="90"/>
      <c r="G533" s="105"/>
      <c r="H533" s="90"/>
      <c r="I533" s="90"/>
    </row>
    <row r="534" spans="1:9" ht="24.75" customHeight="1" thickBot="1" x14ac:dyDescent="0.25">
      <c r="A534" s="90"/>
      <c r="B534" s="90"/>
      <c r="C534" s="90"/>
      <c r="D534" s="90"/>
      <c r="E534" s="90"/>
      <c r="F534" s="90"/>
      <c r="G534" s="105"/>
      <c r="H534" s="90"/>
      <c r="I534" s="90"/>
    </row>
    <row r="535" spans="1:9" ht="24.75" customHeight="1" thickBot="1" x14ac:dyDescent="0.25">
      <c r="A535" s="90"/>
      <c r="B535" s="90"/>
      <c r="C535" s="90"/>
      <c r="D535" s="90"/>
      <c r="E535" s="90"/>
      <c r="F535" s="90"/>
      <c r="G535" s="105"/>
      <c r="H535" s="90"/>
      <c r="I535" s="90"/>
    </row>
    <row r="536" spans="1:9" ht="24.75" customHeight="1" thickBot="1" x14ac:dyDescent="0.25">
      <c r="A536" s="90"/>
      <c r="B536" s="90"/>
      <c r="C536" s="90"/>
      <c r="D536" s="90"/>
      <c r="E536" s="90"/>
      <c r="F536" s="90"/>
      <c r="G536" s="105"/>
      <c r="H536" s="90"/>
      <c r="I536" s="90"/>
    </row>
    <row r="537" spans="1:9" ht="24.75" customHeight="1" thickBot="1" x14ac:dyDescent="0.25">
      <c r="A537" s="90"/>
      <c r="B537" s="90"/>
      <c r="C537" s="90"/>
      <c r="D537" s="90"/>
      <c r="E537" s="90"/>
      <c r="F537" s="90"/>
      <c r="G537" s="105"/>
      <c r="H537" s="90"/>
      <c r="I537" s="90"/>
    </row>
    <row r="538" spans="1:9" ht="24.75" customHeight="1" thickBot="1" x14ac:dyDescent="0.25">
      <c r="A538" s="90"/>
      <c r="B538" s="90"/>
      <c r="C538" s="90"/>
      <c r="D538" s="90"/>
      <c r="E538" s="90"/>
      <c r="F538" s="90"/>
      <c r="G538" s="105"/>
      <c r="H538" s="90"/>
      <c r="I538" s="90"/>
    </row>
    <row r="539" spans="1:9" ht="24.75" customHeight="1" thickBot="1" x14ac:dyDescent="0.25">
      <c r="A539" s="90"/>
      <c r="B539" s="90"/>
      <c r="C539" s="90"/>
      <c r="D539" s="90"/>
      <c r="E539" s="90"/>
      <c r="F539" s="90"/>
      <c r="G539" s="105"/>
      <c r="H539" s="90"/>
      <c r="I539" s="90"/>
    </row>
    <row r="540" spans="1:9" ht="24.75" customHeight="1" thickBot="1" x14ac:dyDescent="0.25">
      <c r="A540" s="90"/>
      <c r="B540" s="90"/>
      <c r="C540" s="90"/>
      <c r="D540" s="90"/>
      <c r="E540" s="90"/>
      <c r="F540" s="90"/>
      <c r="G540" s="105"/>
      <c r="H540" s="90"/>
      <c r="I540" s="90"/>
    </row>
    <row r="541" spans="1:9" ht="24.75" customHeight="1" thickBot="1" x14ac:dyDescent="0.25">
      <c r="A541" s="90"/>
      <c r="B541" s="90"/>
      <c r="C541" s="90"/>
      <c r="D541" s="90"/>
      <c r="E541" s="90"/>
      <c r="F541" s="90"/>
      <c r="G541" s="105"/>
      <c r="H541" s="90"/>
      <c r="I541" s="90"/>
    </row>
    <row r="542" spans="1:9" ht="24.75" customHeight="1" thickBot="1" x14ac:dyDescent="0.25">
      <c r="A542" s="90"/>
      <c r="B542" s="90"/>
      <c r="C542" s="90"/>
      <c r="D542" s="90"/>
      <c r="E542" s="90"/>
      <c r="F542" s="90"/>
      <c r="G542" s="105"/>
      <c r="H542" s="90"/>
      <c r="I542" s="90"/>
    </row>
    <row r="543" spans="1:9" ht="24.75" customHeight="1" thickBot="1" x14ac:dyDescent="0.25">
      <c r="A543" s="90"/>
      <c r="B543" s="90"/>
      <c r="C543" s="90"/>
      <c r="D543" s="90"/>
      <c r="E543" s="90"/>
      <c r="F543" s="90"/>
      <c r="G543" s="105"/>
      <c r="H543" s="90"/>
      <c r="I543" s="90"/>
    </row>
    <row r="544" spans="1:9" ht="24.75" customHeight="1" thickBot="1" x14ac:dyDescent="0.25">
      <c r="A544" s="90"/>
      <c r="B544" s="90"/>
      <c r="C544" s="90"/>
      <c r="D544" s="90"/>
      <c r="E544" s="90"/>
      <c r="F544" s="90"/>
      <c r="G544" s="105"/>
      <c r="H544" s="90"/>
      <c r="I544" s="90"/>
    </row>
    <row r="545" spans="1:9" ht="24.75" customHeight="1" thickBot="1" x14ac:dyDescent="0.25">
      <c r="A545" s="90"/>
      <c r="B545" s="90"/>
      <c r="C545" s="90"/>
      <c r="D545" s="90"/>
      <c r="E545" s="90"/>
      <c r="F545" s="90"/>
      <c r="G545" s="105"/>
      <c r="H545" s="90"/>
      <c r="I545" s="90"/>
    </row>
    <row r="546" spans="1:9" ht="24.75" customHeight="1" thickBot="1" x14ac:dyDescent="0.25">
      <c r="A546" s="90"/>
      <c r="B546" s="90"/>
      <c r="C546" s="90"/>
      <c r="D546" s="90"/>
      <c r="E546" s="90"/>
      <c r="F546" s="90"/>
      <c r="G546" s="105"/>
      <c r="H546" s="90"/>
      <c r="I546" s="90"/>
    </row>
    <row r="547" spans="1:9" ht="24.75" customHeight="1" thickBot="1" x14ac:dyDescent="0.25">
      <c r="A547" s="90"/>
      <c r="B547" s="90"/>
      <c r="C547" s="90"/>
      <c r="D547" s="90"/>
      <c r="E547" s="90"/>
      <c r="F547" s="90"/>
      <c r="G547" s="105"/>
      <c r="H547" s="90"/>
      <c r="I547" s="90"/>
    </row>
    <row r="548" spans="1:9" ht="24.75" customHeight="1" thickBot="1" x14ac:dyDescent="0.25">
      <c r="A548" s="90"/>
      <c r="B548" s="90"/>
      <c r="C548" s="90"/>
      <c r="D548" s="90"/>
      <c r="E548" s="90"/>
      <c r="F548" s="90"/>
      <c r="G548" s="105"/>
      <c r="H548" s="90"/>
      <c r="I548" s="90"/>
    </row>
    <row r="549" spans="1:9" ht="24.75" customHeight="1" thickBot="1" x14ac:dyDescent="0.25">
      <c r="A549" s="90"/>
      <c r="B549" s="90"/>
      <c r="C549" s="90"/>
      <c r="D549" s="90"/>
      <c r="E549" s="90"/>
      <c r="F549" s="90"/>
      <c r="G549" s="105"/>
      <c r="H549" s="90"/>
      <c r="I549" s="90"/>
    </row>
    <row r="550" spans="1:9" ht="24.75" customHeight="1" thickBot="1" x14ac:dyDescent="0.25">
      <c r="A550" s="90"/>
      <c r="B550" s="90"/>
      <c r="C550" s="90"/>
      <c r="D550" s="90"/>
      <c r="E550" s="90"/>
      <c r="F550" s="90"/>
      <c r="G550" s="105"/>
      <c r="H550" s="90"/>
      <c r="I550" s="90"/>
    </row>
    <row r="551" spans="1:9" ht="24.75" customHeight="1" thickBot="1" x14ac:dyDescent="0.25">
      <c r="A551" s="90"/>
      <c r="B551" s="90"/>
      <c r="C551" s="90"/>
      <c r="D551" s="90"/>
      <c r="E551" s="90"/>
      <c r="F551" s="90"/>
      <c r="G551" s="105"/>
      <c r="H551" s="90"/>
      <c r="I551" s="90"/>
    </row>
    <row r="552" spans="1:9" ht="24.75" customHeight="1" thickBot="1" x14ac:dyDescent="0.25">
      <c r="A552" s="90"/>
      <c r="B552" s="90"/>
      <c r="C552" s="90"/>
      <c r="D552" s="90"/>
      <c r="E552" s="90"/>
      <c r="F552" s="90"/>
      <c r="G552" s="105"/>
      <c r="H552" s="90"/>
      <c r="I552" s="90"/>
    </row>
    <row r="553" spans="1:9" ht="24.75" customHeight="1" thickBot="1" x14ac:dyDescent="0.25">
      <c r="A553" s="90"/>
      <c r="B553" s="90"/>
      <c r="C553" s="90"/>
      <c r="D553" s="90"/>
      <c r="E553" s="90"/>
      <c r="F553" s="90"/>
      <c r="G553" s="105"/>
      <c r="H553" s="90"/>
      <c r="I553" s="90"/>
    </row>
    <row r="554" spans="1:9" ht="24.75" customHeight="1" thickBot="1" x14ac:dyDescent="0.25">
      <c r="A554" s="90"/>
      <c r="B554" s="90"/>
      <c r="C554" s="90"/>
      <c r="D554" s="90"/>
      <c r="E554" s="90"/>
      <c r="F554" s="90"/>
      <c r="G554" s="105"/>
      <c r="H554" s="90"/>
      <c r="I554" s="90"/>
    </row>
    <row r="555" spans="1:9" ht="24.75" customHeight="1" thickBot="1" x14ac:dyDescent="0.25">
      <c r="A555" s="90"/>
      <c r="B555" s="90"/>
      <c r="C555" s="90"/>
      <c r="D555" s="90"/>
      <c r="E555" s="90"/>
      <c r="F555" s="90"/>
      <c r="G555" s="105"/>
      <c r="H555" s="90"/>
      <c r="I555" s="90"/>
    </row>
    <row r="556" spans="1:9" ht="24.75" customHeight="1" thickBot="1" x14ac:dyDescent="0.25">
      <c r="A556" s="90"/>
      <c r="B556" s="90"/>
      <c r="C556" s="90"/>
      <c r="D556" s="90"/>
      <c r="E556" s="90"/>
      <c r="F556" s="90"/>
      <c r="G556" s="105"/>
      <c r="H556" s="90"/>
      <c r="I556" s="90"/>
    </row>
    <row r="557" spans="1:9" ht="24.75" customHeight="1" thickBot="1" x14ac:dyDescent="0.25">
      <c r="A557" s="90"/>
      <c r="B557" s="90"/>
      <c r="C557" s="90"/>
      <c r="D557" s="90"/>
      <c r="E557" s="90"/>
      <c r="F557" s="90"/>
      <c r="G557" s="105"/>
      <c r="H557" s="90"/>
      <c r="I557" s="90"/>
    </row>
    <row r="558" spans="1:9" ht="24.75" customHeight="1" thickBot="1" x14ac:dyDescent="0.25">
      <c r="A558" s="90"/>
      <c r="B558" s="90"/>
      <c r="C558" s="90"/>
      <c r="D558" s="90"/>
      <c r="E558" s="90"/>
      <c r="F558" s="90"/>
      <c r="G558" s="105"/>
      <c r="H558" s="90"/>
      <c r="I558" s="90"/>
    </row>
    <row r="559" spans="1:9" ht="24.75" customHeight="1" thickBot="1" x14ac:dyDescent="0.25">
      <c r="A559" s="90"/>
      <c r="B559" s="90"/>
      <c r="C559" s="90"/>
      <c r="D559" s="90"/>
      <c r="E559" s="90"/>
      <c r="F559" s="90"/>
      <c r="G559" s="105"/>
      <c r="H559" s="90"/>
      <c r="I559" s="90"/>
    </row>
    <row r="560" spans="1:9" ht="24.75" customHeight="1" thickBot="1" x14ac:dyDescent="0.25">
      <c r="A560" s="90"/>
      <c r="B560" s="90"/>
      <c r="C560" s="90"/>
      <c r="D560" s="90"/>
      <c r="E560" s="90"/>
      <c r="F560" s="90"/>
      <c r="G560" s="105"/>
      <c r="H560" s="90"/>
      <c r="I560" s="90"/>
    </row>
    <row r="561" spans="1:9" ht="24.75" customHeight="1" thickBot="1" x14ac:dyDescent="0.25">
      <c r="A561" s="90"/>
      <c r="B561" s="90"/>
      <c r="C561" s="90"/>
      <c r="D561" s="90"/>
      <c r="E561" s="90"/>
      <c r="F561" s="90"/>
      <c r="G561" s="105"/>
      <c r="H561" s="90"/>
      <c r="I561" s="90"/>
    </row>
    <row r="562" spans="1:9" ht="24.75" customHeight="1" thickBot="1" x14ac:dyDescent="0.25">
      <c r="A562" s="90"/>
      <c r="B562" s="90"/>
      <c r="C562" s="90"/>
      <c r="D562" s="90"/>
      <c r="E562" s="90"/>
      <c r="F562" s="90"/>
      <c r="G562" s="105"/>
      <c r="H562" s="90"/>
      <c r="I562" s="90"/>
    </row>
    <row r="563" spans="1:9" ht="24.75" customHeight="1" thickBot="1" x14ac:dyDescent="0.25">
      <c r="A563" s="90"/>
      <c r="B563" s="90"/>
      <c r="C563" s="90"/>
      <c r="D563" s="90"/>
      <c r="E563" s="90"/>
      <c r="F563" s="90"/>
      <c r="G563" s="105"/>
      <c r="H563" s="90"/>
      <c r="I563" s="90"/>
    </row>
    <row r="564" spans="1:9" ht="24.75" customHeight="1" thickBot="1" x14ac:dyDescent="0.25">
      <c r="A564" s="90"/>
      <c r="B564" s="90"/>
      <c r="C564" s="90"/>
      <c r="D564" s="90"/>
      <c r="E564" s="90"/>
      <c r="F564" s="90"/>
      <c r="G564" s="105"/>
      <c r="H564" s="90"/>
      <c r="I564" s="90"/>
    </row>
    <row r="565" spans="1:9" ht="24.75" customHeight="1" thickBot="1" x14ac:dyDescent="0.25">
      <c r="A565" s="90"/>
      <c r="B565" s="90"/>
      <c r="C565" s="90"/>
      <c r="D565" s="90"/>
      <c r="E565" s="90"/>
      <c r="F565" s="90"/>
      <c r="G565" s="105"/>
      <c r="H565" s="90"/>
      <c r="I565" s="90"/>
    </row>
    <row r="566" spans="1:9" ht="24.75" customHeight="1" thickBot="1" x14ac:dyDescent="0.25">
      <c r="A566" s="90"/>
      <c r="B566" s="90"/>
      <c r="C566" s="90"/>
      <c r="D566" s="90"/>
      <c r="E566" s="90"/>
      <c r="F566" s="90"/>
      <c r="G566" s="105"/>
      <c r="H566" s="90"/>
      <c r="I566" s="90"/>
    </row>
    <row r="567" spans="1:9" ht="24.75" customHeight="1" thickBot="1" x14ac:dyDescent="0.25">
      <c r="A567" s="90"/>
      <c r="B567" s="90"/>
      <c r="C567" s="90"/>
      <c r="D567" s="90"/>
      <c r="E567" s="90"/>
      <c r="F567" s="90"/>
      <c r="G567" s="105"/>
      <c r="H567" s="90"/>
      <c r="I567" s="90"/>
    </row>
    <row r="568" spans="1:9" ht="24.75" customHeight="1" thickBot="1" x14ac:dyDescent="0.25">
      <c r="A568" s="90"/>
      <c r="B568" s="90"/>
      <c r="C568" s="90"/>
      <c r="D568" s="90"/>
      <c r="E568" s="90"/>
      <c r="F568" s="90"/>
      <c r="G568" s="105"/>
      <c r="H568" s="90"/>
      <c r="I568" s="90"/>
    </row>
    <row r="569" spans="1:9" ht="24.75" customHeight="1" thickBot="1" x14ac:dyDescent="0.25">
      <c r="A569" s="90"/>
      <c r="B569" s="90"/>
      <c r="C569" s="90"/>
      <c r="D569" s="90"/>
      <c r="E569" s="90"/>
      <c r="F569" s="90"/>
      <c r="G569" s="105"/>
      <c r="H569" s="90"/>
      <c r="I569" s="90"/>
    </row>
    <row r="570" spans="1:9" ht="24.75" customHeight="1" thickBot="1" x14ac:dyDescent="0.25">
      <c r="A570" s="90"/>
      <c r="B570" s="90"/>
      <c r="C570" s="90"/>
      <c r="D570" s="90"/>
      <c r="E570" s="90"/>
      <c r="F570" s="90"/>
      <c r="G570" s="105"/>
      <c r="H570" s="90"/>
      <c r="I570" s="90"/>
    </row>
    <row r="571" spans="1:9" ht="24.75" customHeight="1" thickBot="1" x14ac:dyDescent="0.25">
      <c r="A571" s="90"/>
      <c r="B571" s="90"/>
      <c r="C571" s="90"/>
      <c r="D571" s="90"/>
      <c r="E571" s="90"/>
      <c r="F571" s="90"/>
      <c r="G571" s="105"/>
      <c r="H571" s="90"/>
      <c r="I571" s="90"/>
    </row>
    <row r="572" spans="1:9" ht="24.75" customHeight="1" thickBot="1" x14ac:dyDescent="0.25">
      <c r="A572" s="90"/>
      <c r="B572" s="90"/>
      <c r="C572" s="90"/>
      <c r="D572" s="90"/>
      <c r="E572" s="90"/>
      <c r="F572" s="90"/>
      <c r="G572" s="105"/>
      <c r="H572" s="90"/>
      <c r="I572" s="90"/>
    </row>
    <row r="573" spans="1:9" ht="24.75" customHeight="1" thickBot="1" x14ac:dyDescent="0.25">
      <c r="A573" s="90"/>
      <c r="B573" s="90"/>
      <c r="C573" s="90"/>
      <c r="D573" s="90"/>
      <c r="E573" s="90"/>
      <c r="F573" s="90"/>
      <c r="G573" s="105"/>
      <c r="H573" s="90"/>
      <c r="I573" s="90"/>
    </row>
    <row r="574" spans="1:9" ht="24.75" customHeight="1" thickBot="1" x14ac:dyDescent="0.25">
      <c r="A574" s="90"/>
      <c r="B574" s="90"/>
      <c r="C574" s="90"/>
      <c r="D574" s="90"/>
      <c r="E574" s="90"/>
      <c r="F574" s="90"/>
      <c r="G574" s="105"/>
      <c r="H574" s="90"/>
      <c r="I574" s="90"/>
    </row>
    <row r="575" spans="1:9" ht="24.75" customHeight="1" thickBot="1" x14ac:dyDescent="0.25">
      <c r="A575" s="90"/>
      <c r="B575" s="90"/>
      <c r="C575" s="90"/>
      <c r="D575" s="90"/>
      <c r="E575" s="90"/>
      <c r="F575" s="90"/>
      <c r="G575" s="105"/>
      <c r="H575" s="90"/>
      <c r="I575" s="90"/>
    </row>
    <row r="576" spans="1:9" ht="24.75" customHeight="1" thickBot="1" x14ac:dyDescent="0.25">
      <c r="A576" s="90"/>
      <c r="B576" s="90"/>
      <c r="C576" s="90"/>
      <c r="D576" s="90"/>
      <c r="E576" s="90"/>
      <c r="F576" s="90"/>
      <c r="G576" s="105"/>
      <c r="H576" s="90"/>
      <c r="I576" s="90"/>
    </row>
    <row r="577" spans="1:9" ht="24.75" customHeight="1" thickBot="1" x14ac:dyDescent="0.25">
      <c r="A577" s="90"/>
      <c r="B577" s="90"/>
      <c r="C577" s="90"/>
      <c r="D577" s="90"/>
      <c r="E577" s="90"/>
      <c r="F577" s="90"/>
      <c r="G577" s="105"/>
      <c r="H577" s="90"/>
      <c r="I577" s="90"/>
    </row>
    <row r="578" spans="1:9" ht="24.75" customHeight="1" thickBot="1" x14ac:dyDescent="0.25">
      <c r="A578" s="90"/>
      <c r="B578" s="90"/>
      <c r="C578" s="90"/>
      <c r="D578" s="90"/>
      <c r="E578" s="90"/>
      <c r="F578" s="90"/>
      <c r="G578" s="105"/>
      <c r="H578" s="90"/>
      <c r="I578" s="90"/>
    </row>
    <row r="579" spans="1:9" ht="24.75" customHeight="1" thickBot="1" x14ac:dyDescent="0.25">
      <c r="A579" s="90"/>
      <c r="B579" s="90"/>
      <c r="C579" s="90"/>
      <c r="D579" s="90"/>
      <c r="E579" s="90"/>
      <c r="F579" s="90"/>
      <c r="G579" s="105"/>
      <c r="H579" s="90"/>
      <c r="I579" s="90"/>
    </row>
    <row r="580" spans="1:9" ht="24.75" customHeight="1" thickBot="1" x14ac:dyDescent="0.25">
      <c r="A580" s="90"/>
      <c r="B580" s="90"/>
      <c r="C580" s="90"/>
      <c r="D580" s="90"/>
      <c r="E580" s="90"/>
      <c r="F580" s="90"/>
      <c r="G580" s="105"/>
      <c r="H580" s="90"/>
      <c r="I580" s="90"/>
    </row>
    <row r="581" spans="1:9" ht="24.75" customHeight="1" thickBot="1" x14ac:dyDescent="0.25">
      <c r="A581" s="90"/>
      <c r="B581" s="90"/>
      <c r="C581" s="90"/>
      <c r="D581" s="90"/>
      <c r="E581" s="90"/>
      <c r="F581" s="90"/>
      <c r="G581" s="105"/>
      <c r="H581" s="90"/>
      <c r="I581" s="90"/>
    </row>
    <row r="582" spans="1:9" ht="24.75" customHeight="1" thickBot="1" x14ac:dyDescent="0.25">
      <c r="A582" s="90"/>
      <c r="B582" s="90"/>
      <c r="C582" s="90"/>
      <c r="D582" s="90"/>
      <c r="E582" s="90"/>
      <c r="F582" s="90"/>
      <c r="G582" s="105"/>
      <c r="H582" s="90"/>
      <c r="I582" s="90"/>
    </row>
    <row r="583" spans="1:9" ht="24.75" customHeight="1" thickBot="1" x14ac:dyDescent="0.25">
      <c r="A583" s="90"/>
      <c r="B583" s="90"/>
      <c r="C583" s="90"/>
      <c r="D583" s="90"/>
      <c r="E583" s="90"/>
      <c r="F583" s="90"/>
      <c r="G583" s="105"/>
      <c r="H583" s="90"/>
      <c r="I583" s="90"/>
    </row>
    <row r="584" spans="1:9" ht="24.75" customHeight="1" thickBot="1" x14ac:dyDescent="0.25">
      <c r="A584" s="90"/>
      <c r="B584" s="90"/>
      <c r="C584" s="90"/>
      <c r="D584" s="90"/>
      <c r="E584" s="90"/>
      <c r="F584" s="90"/>
      <c r="G584" s="105"/>
      <c r="H584" s="90"/>
      <c r="I584" s="90"/>
    </row>
    <row r="585" spans="1:9" ht="24.75" customHeight="1" thickBot="1" x14ac:dyDescent="0.25">
      <c r="A585" s="90"/>
      <c r="B585" s="90"/>
      <c r="C585" s="90"/>
      <c r="D585" s="90"/>
      <c r="E585" s="90"/>
      <c r="F585" s="90"/>
      <c r="G585" s="105"/>
      <c r="H585" s="90"/>
      <c r="I585" s="90"/>
    </row>
    <row r="586" spans="1:9" ht="24.75" customHeight="1" thickBot="1" x14ac:dyDescent="0.25">
      <c r="A586" s="90"/>
      <c r="B586" s="90"/>
      <c r="C586" s="90"/>
      <c r="D586" s="90"/>
      <c r="E586" s="90"/>
      <c r="F586" s="90"/>
      <c r="G586" s="105"/>
      <c r="H586" s="90"/>
      <c r="I586" s="90"/>
    </row>
    <row r="587" spans="1:9" ht="24.75" customHeight="1" thickBot="1" x14ac:dyDescent="0.25">
      <c r="A587" s="90"/>
      <c r="B587" s="90"/>
      <c r="C587" s="90"/>
      <c r="D587" s="90"/>
      <c r="E587" s="90"/>
      <c r="F587" s="90"/>
      <c r="G587" s="105"/>
      <c r="H587" s="90"/>
      <c r="I587" s="90"/>
    </row>
    <row r="588" spans="1:9" ht="24.75" customHeight="1" thickBot="1" x14ac:dyDescent="0.25">
      <c r="A588" s="90"/>
      <c r="B588" s="90"/>
      <c r="C588" s="90"/>
      <c r="D588" s="90"/>
      <c r="E588" s="90"/>
      <c r="F588" s="90"/>
      <c r="G588" s="105"/>
      <c r="H588" s="90"/>
      <c r="I588" s="90"/>
    </row>
    <row r="589" spans="1:9" ht="24.75" customHeight="1" thickBot="1" x14ac:dyDescent="0.25">
      <c r="A589" s="90"/>
      <c r="B589" s="90"/>
      <c r="C589" s="90"/>
      <c r="D589" s="90"/>
      <c r="E589" s="90"/>
      <c r="F589" s="90"/>
      <c r="G589" s="105"/>
      <c r="H589" s="90"/>
      <c r="I589" s="90"/>
    </row>
    <row r="590" spans="1:9" ht="24.75" customHeight="1" thickBot="1" x14ac:dyDescent="0.25">
      <c r="A590" s="90"/>
      <c r="B590" s="90"/>
      <c r="C590" s="90"/>
      <c r="D590" s="90"/>
      <c r="E590" s="90"/>
      <c r="F590" s="90"/>
      <c r="G590" s="105"/>
      <c r="H590" s="90"/>
      <c r="I590" s="90"/>
    </row>
    <row r="591" spans="1:9" ht="24.75" customHeight="1" thickBot="1" x14ac:dyDescent="0.25">
      <c r="A591" s="90"/>
      <c r="B591" s="90"/>
      <c r="C591" s="90"/>
      <c r="D591" s="90"/>
      <c r="E591" s="90"/>
      <c r="F591" s="90"/>
      <c r="G591" s="105"/>
      <c r="H591" s="90"/>
      <c r="I591" s="90"/>
    </row>
    <row r="592" spans="1:9" ht="24.75" customHeight="1" thickBot="1" x14ac:dyDescent="0.25">
      <c r="A592" s="90"/>
      <c r="B592" s="90"/>
      <c r="C592" s="90"/>
      <c r="D592" s="90"/>
      <c r="E592" s="90"/>
      <c r="F592" s="90"/>
      <c r="G592" s="105"/>
      <c r="H592" s="90"/>
      <c r="I592" s="90"/>
    </row>
    <row r="593" spans="1:9" ht="24.75" customHeight="1" thickBot="1" x14ac:dyDescent="0.25">
      <c r="A593" s="90"/>
      <c r="B593" s="90"/>
      <c r="C593" s="90"/>
      <c r="D593" s="90"/>
      <c r="E593" s="90"/>
      <c r="F593" s="90"/>
      <c r="G593" s="105"/>
      <c r="H593" s="90"/>
      <c r="I593" s="90"/>
    </row>
    <row r="594" spans="1:9" ht="24.75" customHeight="1" thickBot="1" x14ac:dyDescent="0.25">
      <c r="A594" s="90"/>
      <c r="B594" s="90"/>
      <c r="C594" s="90"/>
      <c r="D594" s="90"/>
      <c r="E594" s="90"/>
      <c r="F594" s="90"/>
      <c r="G594" s="105"/>
      <c r="H594" s="90"/>
      <c r="I594" s="90"/>
    </row>
    <row r="595" spans="1:9" ht="24.75" customHeight="1" thickBot="1" x14ac:dyDescent="0.25">
      <c r="A595" s="90"/>
      <c r="B595" s="90"/>
      <c r="C595" s="90"/>
      <c r="D595" s="90"/>
      <c r="E595" s="90"/>
      <c r="F595" s="90"/>
      <c r="G595" s="105"/>
      <c r="H595" s="90"/>
      <c r="I595" s="90"/>
    </row>
    <row r="596" spans="1:9" ht="24.75" customHeight="1" thickBot="1" x14ac:dyDescent="0.25">
      <c r="A596" s="90"/>
      <c r="B596" s="90"/>
      <c r="C596" s="90"/>
      <c r="D596" s="90"/>
      <c r="E596" s="90"/>
      <c r="F596" s="90"/>
      <c r="G596" s="105"/>
      <c r="H596" s="90"/>
      <c r="I596" s="90"/>
    </row>
    <row r="597" spans="1:9" ht="24.75" customHeight="1" thickBot="1" x14ac:dyDescent="0.25">
      <c r="A597" s="90"/>
      <c r="B597" s="90"/>
      <c r="C597" s="90"/>
      <c r="D597" s="90"/>
      <c r="E597" s="90"/>
      <c r="F597" s="90"/>
      <c r="G597" s="105"/>
      <c r="H597" s="90"/>
      <c r="I597" s="90"/>
    </row>
    <row r="598" spans="1:9" ht="24.75" customHeight="1" thickBot="1" x14ac:dyDescent="0.25">
      <c r="A598" s="90"/>
      <c r="B598" s="90"/>
      <c r="C598" s="90"/>
      <c r="D598" s="90"/>
      <c r="E598" s="90"/>
      <c r="F598" s="90"/>
      <c r="G598" s="105"/>
      <c r="H598" s="90"/>
      <c r="I598" s="90"/>
    </row>
    <row r="599" spans="1:9" ht="24.75" customHeight="1" thickBot="1" x14ac:dyDescent="0.25">
      <c r="A599" s="90"/>
      <c r="B599" s="90"/>
      <c r="C599" s="90"/>
      <c r="D599" s="90"/>
      <c r="E599" s="90"/>
      <c r="F599" s="90"/>
      <c r="G599" s="105"/>
      <c r="H599" s="90"/>
      <c r="I599" s="90"/>
    </row>
    <row r="600" spans="1:9" ht="24.75" customHeight="1" thickBot="1" x14ac:dyDescent="0.25">
      <c r="A600" s="90"/>
      <c r="B600" s="90"/>
      <c r="C600" s="90"/>
      <c r="D600" s="90"/>
      <c r="E600" s="90"/>
      <c r="F600" s="90"/>
      <c r="G600" s="105"/>
      <c r="H600" s="90"/>
      <c r="I600" s="90"/>
    </row>
    <row r="601" spans="1:9" ht="24.75" customHeight="1" thickBot="1" x14ac:dyDescent="0.25">
      <c r="A601" s="90"/>
      <c r="B601" s="90"/>
      <c r="C601" s="90"/>
      <c r="D601" s="90"/>
      <c r="E601" s="90"/>
      <c r="F601" s="90"/>
      <c r="G601" s="105"/>
      <c r="H601" s="90"/>
      <c r="I601" s="90"/>
    </row>
    <row r="602" spans="1:9" ht="24.75" customHeight="1" thickBot="1" x14ac:dyDescent="0.25">
      <c r="A602" s="90"/>
      <c r="B602" s="90"/>
      <c r="C602" s="90"/>
      <c r="D602" s="90"/>
      <c r="E602" s="90"/>
      <c r="F602" s="90"/>
      <c r="G602" s="105"/>
      <c r="H602" s="90"/>
      <c r="I602" s="90"/>
    </row>
    <row r="603" spans="1:9" ht="24.75" customHeight="1" thickBot="1" x14ac:dyDescent="0.25">
      <c r="A603" s="90"/>
      <c r="B603" s="90"/>
      <c r="C603" s="90"/>
      <c r="D603" s="90"/>
      <c r="E603" s="90"/>
      <c r="F603" s="90"/>
      <c r="G603" s="105"/>
      <c r="H603" s="90"/>
      <c r="I603" s="90"/>
    </row>
    <row r="604" spans="1:9" ht="24.75" customHeight="1" thickBot="1" x14ac:dyDescent="0.25">
      <c r="A604" s="90"/>
      <c r="B604" s="90"/>
      <c r="C604" s="90"/>
      <c r="D604" s="90"/>
      <c r="E604" s="90"/>
      <c r="F604" s="90"/>
      <c r="G604" s="105"/>
      <c r="H604" s="90"/>
      <c r="I604" s="90"/>
    </row>
    <row r="605" spans="1:9" ht="24.75" customHeight="1" thickBot="1" x14ac:dyDescent="0.25">
      <c r="A605" s="90"/>
      <c r="B605" s="90"/>
      <c r="C605" s="90"/>
      <c r="D605" s="90"/>
      <c r="E605" s="90"/>
      <c r="F605" s="90"/>
      <c r="G605" s="105"/>
      <c r="H605" s="90"/>
      <c r="I605" s="90"/>
    </row>
    <row r="606" spans="1:9" ht="24.75" customHeight="1" thickBot="1" x14ac:dyDescent="0.25">
      <c r="A606" s="90"/>
      <c r="B606" s="90"/>
      <c r="C606" s="90"/>
      <c r="D606" s="90"/>
      <c r="E606" s="90"/>
      <c r="F606" s="90"/>
      <c r="G606" s="105"/>
      <c r="H606" s="90"/>
      <c r="I606" s="90"/>
    </row>
    <row r="607" spans="1:9" ht="24.75" customHeight="1" thickBot="1" x14ac:dyDescent="0.25">
      <c r="A607" s="90"/>
      <c r="B607" s="90"/>
      <c r="C607" s="90"/>
      <c r="D607" s="90"/>
      <c r="E607" s="90"/>
      <c r="F607" s="90"/>
      <c r="G607" s="105"/>
      <c r="H607" s="90"/>
      <c r="I607" s="90"/>
    </row>
    <row r="608" spans="1:9" ht="24.75" customHeight="1" thickBot="1" x14ac:dyDescent="0.25">
      <c r="A608" s="90"/>
      <c r="B608" s="90"/>
      <c r="C608" s="90"/>
      <c r="D608" s="90"/>
      <c r="E608" s="90"/>
      <c r="F608" s="90"/>
      <c r="G608" s="105"/>
      <c r="H608" s="90"/>
      <c r="I608" s="90"/>
    </row>
    <row r="609" spans="1:9" ht="24.75" customHeight="1" thickBot="1" x14ac:dyDescent="0.25">
      <c r="A609" s="90"/>
      <c r="B609" s="90"/>
      <c r="C609" s="90"/>
      <c r="D609" s="90"/>
      <c r="E609" s="90"/>
      <c r="F609" s="90"/>
      <c r="G609" s="105"/>
      <c r="H609" s="90"/>
      <c r="I609" s="90"/>
    </row>
    <row r="610" spans="1:9" ht="24.75" customHeight="1" thickBot="1" x14ac:dyDescent="0.25">
      <c r="A610" s="90"/>
      <c r="B610" s="90"/>
      <c r="C610" s="90"/>
      <c r="D610" s="90"/>
      <c r="E610" s="90"/>
      <c r="F610" s="90"/>
      <c r="G610" s="105"/>
      <c r="H610" s="90"/>
      <c r="I610" s="90"/>
    </row>
    <row r="611" spans="1:9" ht="24.75" customHeight="1" thickBot="1" x14ac:dyDescent="0.25">
      <c r="A611" s="90"/>
      <c r="B611" s="90"/>
      <c r="C611" s="90"/>
      <c r="D611" s="90"/>
      <c r="E611" s="90"/>
      <c r="F611" s="90"/>
      <c r="G611" s="105"/>
      <c r="H611" s="90"/>
      <c r="I611" s="90"/>
    </row>
    <row r="612" spans="1:9" ht="24.75" customHeight="1" thickBot="1" x14ac:dyDescent="0.25">
      <c r="A612" s="90"/>
      <c r="B612" s="90"/>
      <c r="C612" s="90"/>
      <c r="D612" s="90"/>
      <c r="E612" s="90"/>
      <c r="F612" s="90"/>
      <c r="G612" s="105"/>
      <c r="H612" s="90"/>
      <c r="I612" s="90"/>
    </row>
    <row r="613" spans="1:9" ht="24.75" customHeight="1" thickBot="1" x14ac:dyDescent="0.25">
      <c r="A613" s="90"/>
      <c r="B613" s="90"/>
      <c r="C613" s="90"/>
      <c r="D613" s="90"/>
      <c r="E613" s="90"/>
      <c r="F613" s="90"/>
      <c r="G613" s="105"/>
      <c r="H613" s="90"/>
      <c r="I613" s="90"/>
    </row>
    <row r="614" spans="1:9" ht="24.75" customHeight="1" thickBot="1" x14ac:dyDescent="0.25">
      <c r="A614" s="90"/>
      <c r="B614" s="90"/>
      <c r="C614" s="90"/>
      <c r="D614" s="90"/>
      <c r="E614" s="90"/>
      <c r="F614" s="90"/>
      <c r="G614" s="105"/>
      <c r="H614" s="90"/>
      <c r="I614" s="90"/>
    </row>
    <row r="615" spans="1:9" ht="24.75" customHeight="1" thickBot="1" x14ac:dyDescent="0.25">
      <c r="A615" s="90"/>
      <c r="B615" s="90"/>
      <c r="C615" s="90"/>
      <c r="D615" s="90"/>
      <c r="E615" s="90"/>
      <c r="F615" s="90"/>
      <c r="G615" s="105"/>
      <c r="H615" s="90"/>
      <c r="I615" s="90"/>
    </row>
    <row r="616" spans="1:9" ht="24.75" customHeight="1" thickBot="1" x14ac:dyDescent="0.25">
      <c r="A616" s="90"/>
      <c r="B616" s="90"/>
      <c r="C616" s="90"/>
      <c r="D616" s="90"/>
      <c r="E616" s="90"/>
      <c r="F616" s="90"/>
      <c r="G616" s="105"/>
      <c r="H616" s="90"/>
      <c r="I616" s="90"/>
    </row>
    <row r="617" spans="1:9" ht="24.75" customHeight="1" thickBot="1" x14ac:dyDescent="0.25">
      <c r="A617" s="90"/>
      <c r="B617" s="90"/>
      <c r="C617" s="90"/>
      <c r="D617" s="90"/>
      <c r="E617" s="90"/>
      <c r="F617" s="90"/>
      <c r="G617" s="105"/>
      <c r="H617" s="90"/>
      <c r="I617" s="90"/>
    </row>
    <row r="618" spans="1:9" ht="24.75" customHeight="1" thickBot="1" x14ac:dyDescent="0.25">
      <c r="A618" s="90"/>
      <c r="B618" s="90"/>
      <c r="C618" s="90"/>
      <c r="D618" s="90"/>
      <c r="E618" s="90"/>
      <c r="F618" s="90"/>
      <c r="G618" s="105"/>
      <c r="H618" s="90"/>
      <c r="I618" s="90"/>
    </row>
    <row r="619" spans="1:9" ht="24.75" customHeight="1" thickBot="1" x14ac:dyDescent="0.25">
      <c r="A619" s="90"/>
      <c r="B619" s="90"/>
      <c r="C619" s="90"/>
      <c r="D619" s="90"/>
      <c r="E619" s="90"/>
      <c r="F619" s="90"/>
      <c r="G619" s="105"/>
      <c r="H619" s="90"/>
      <c r="I619" s="90"/>
    </row>
    <row r="620" spans="1:9" ht="24.75" customHeight="1" thickBot="1" x14ac:dyDescent="0.25">
      <c r="A620" s="90"/>
      <c r="B620" s="90"/>
      <c r="C620" s="90"/>
      <c r="D620" s="90"/>
      <c r="E620" s="90"/>
      <c r="F620" s="90"/>
      <c r="G620" s="105"/>
      <c r="H620" s="90"/>
      <c r="I620" s="90"/>
    </row>
    <row r="621" spans="1:9" ht="24.75" customHeight="1" thickBot="1" x14ac:dyDescent="0.25">
      <c r="A621" s="90"/>
      <c r="B621" s="90"/>
      <c r="C621" s="90"/>
      <c r="D621" s="90"/>
      <c r="E621" s="90"/>
      <c r="F621" s="90"/>
      <c r="G621" s="105"/>
      <c r="H621" s="90"/>
      <c r="I621" s="90"/>
    </row>
    <row r="622" spans="1:9" ht="24.75" customHeight="1" thickBot="1" x14ac:dyDescent="0.25">
      <c r="A622" s="90"/>
      <c r="B622" s="90"/>
      <c r="C622" s="90"/>
      <c r="D622" s="90"/>
      <c r="E622" s="90"/>
      <c r="F622" s="90"/>
      <c r="G622" s="105"/>
      <c r="H622" s="90"/>
      <c r="I622" s="90"/>
    </row>
    <row r="623" spans="1:9" ht="24.75" customHeight="1" thickBot="1" x14ac:dyDescent="0.25">
      <c r="A623" s="90"/>
      <c r="B623" s="90"/>
      <c r="C623" s="90"/>
      <c r="D623" s="90"/>
      <c r="E623" s="90"/>
      <c r="F623" s="90"/>
      <c r="G623" s="105"/>
      <c r="H623" s="90"/>
      <c r="I623" s="90"/>
    </row>
    <row r="624" spans="1:9" ht="24.75" customHeight="1" thickBot="1" x14ac:dyDescent="0.25">
      <c r="A624" s="90"/>
      <c r="B624" s="90"/>
      <c r="C624" s="90"/>
      <c r="D624" s="90"/>
      <c r="E624" s="90"/>
      <c r="F624" s="90"/>
      <c r="G624" s="105"/>
      <c r="H624" s="90"/>
      <c r="I624" s="90"/>
    </row>
    <row r="625" spans="1:9" ht="24.75" customHeight="1" thickBot="1" x14ac:dyDescent="0.25">
      <c r="A625" s="90"/>
      <c r="B625" s="90"/>
      <c r="C625" s="90"/>
      <c r="D625" s="90"/>
      <c r="E625" s="90"/>
      <c r="F625" s="90"/>
      <c r="G625" s="105"/>
      <c r="H625" s="90"/>
      <c r="I625" s="90"/>
    </row>
    <row r="626" spans="1:9" ht="24.75" customHeight="1" thickBot="1" x14ac:dyDescent="0.25">
      <c r="A626" s="90"/>
      <c r="B626" s="90"/>
      <c r="C626" s="90"/>
      <c r="D626" s="90"/>
      <c r="E626" s="90"/>
      <c r="F626" s="90"/>
      <c r="G626" s="105"/>
      <c r="H626" s="90"/>
      <c r="I626" s="90"/>
    </row>
    <row r="627" spans="1:9" ht="24.75" customHeight="1" thickBot="1" x14ac:dyDescent="0.25">
      <c r="A627" s="90"/>
      <c r="B627" s="90"/>
      <c r="C627" s="90"/>
      <c r="D627" s="90"/>
      <c r="E627" s="90"/>
      <c r="F627" s="90"/>
      <c r="G627" s="105"/>
      <c r="H627" s="90"/>
      <c r="I627" s="90"/>
    </row>
    <row r="628" spans="1:9" ht="24.75" customHeight="1" thickBot="1" x14ac:dyDescent="0.25">
      <c r="A628" s="90"/>
      <c r="B628" s="90"/>
      <c r="C628" s="90"/>
      <c r="D628" s="90"/>
      <c r="E628" s="90"/>
      <c r="F628" s="90"/>
      <c r="G628" s="105"/>
      <c r="H628" s="90"/>
      <c r="I628" s="90"/>
    </row>
    <row r="629" spans="1:9" ht="24.75" customHeight="1" thickBot="1" x14ac:dyDescent="0.25">
      <c r="A629" s="90"/>
      <c r="B629" s="90"/>
      <c r="C629" s="90"/>
      <c r="D629" s="90"/>
      <c r="E629" s="90"/>
      <c r="F629" s="90"/>
      <c r="G629" s="105"/>
      <c r="H629" s="90"/>
      <c r="I629" s="90"/>
    </row>
    <row r="630" spans="1:9" ht="24.75" customHeight="1" thickBot="1" x14ac:dyDescent="0.25">
      <c r="A630" s="90"/>
      <c r="B630" s="90"/>
      <c r="C630" s="90"/>
      <c r="D630" s="90"/>
      <c r="E630" s="90"/>
      <c r="F630" s="90"/>
      <c r="G630" s="105"/>
      <c r="H630" s="90"/>
      <c r="I630" s="90"/>
    </row>
    <row r="631" spans="1:9" ht="24.75" customHeight="1" thickBot="1" x14ac:dyDescent="0.25">
      <c r="A631" s="90"/>
      <c r="B631" s="90"/>
      <c r="C631" s="90"/>
      <c r="D631" s="90"/>
      <c r="E631" s="90"/>
      <c r="F631" s="90"/>
      <c r="G631" s="105"/>
      <c r="H631" s="90"/>
      <c r="I631" s="90"/>
    </row>
    <row r="632" spans="1:9" ht="24.75" customHeight="1" thickBot="1" x14ac:dyDescent="0.25">
      <c r="A632" s="90"/>
      <c r="B632" s="90"/>
      <c r="C632" s="90"/>
      <c r="D632" s="90"/>
      <c r="E632" s="90"/>
      <c r="F632" s="90"/>
      <c r="G632" s="105"/>
      <c r="H632" s="90"/>
      <c r="I632" s="90"/>
    </row>
    <row r="633" spans="1:9" ht="24.75" customHeight="1" thickBot="1" x14ac:dyDescent="0.25">
      <c r="A633" s="90"/>
      <c r="B633" s="90"/>
      <c r="C633" s="90"/>
      <c r="D633" s="90"/>
      <c r="E633" s="90"/>
      <c r="F633" s="90"/>
      <c r="G633" s="105"/>
      <c r="H633" s="90"/>
      <c r="I633" s="90"/>
    </row>
    <row r="634" spans="1:9" ht="24.75" customHeight="1" thickBot="1" x14ac:dyDescent="0.25">
      <c r="A634" s="90"/>
      <c r="B634" s="90"/>
      <c r="C634" s="90"/>
      <c r="D634" s="90"/>
      <c r="E634" s="90"/>
      <c r="F634" s="90"/>
      <c r="G634" s="105"/>
      <c r="H634" s="90"/>
      <c r="I634" s="90"/>
    </row>
    <row r="635" spans="1:9" ht="24.75" customHeight="1" thickBot="1" x14ac:dyDescent="0.25">
      <c r="A635" s="90"/>
      <c r="B635" s="90"/>
      <c r="C635" s="90"/>
      <c r="D635" s="90"/>
      <c r="E635" s="90"/>
      <c r="F635" s="90"/>
      <c r="G635" s="105"/>
      <c r="H635" s="90"/>
      <c r="I635" s="90"/>
    </row>
    <row r="636" spans="1:9" ht="24.75" customHeight="1" thickBot="1" x14ac:dyDescent="0.25">
      <c r="A636" s="90"/>
      <c r="B636" s="90"/>
      <c r="C636" s="90"/>
      <c r="D636" s="90"/>
      <c r="E636" s="90"/>
      <c r="F636" s="90"/>
      <c r="G636" s="105"/>
      <c r="H636" s="90"/>
      <c r="I636" s="90"/>
    </row>
    <row r="637" spans="1:9" ht="24.75" customHeight="1" thickBot="1" x14ac:dyDescent="0.25">
      <c r="A637" s="90"/>
      <c r="B637" s="90"/>
      <c r="C637" s="90"/>
      <c r="D637" s="90"/>
      <c r="E637" s="90"/>
      <c r="F637" s="90"/>
      <c r="G637" s="105"/>
      <c r="H637" s="90"/>
      <c r="I637" s="90"/>
    </row>
    <row r="638" spans="1:9" ht="24.75" customHeight="1" thickBot="1" x14ac:dyDescent="0.25">
      <c r="A638" s="90"/>
      <c r="B638" s="90"/>
      <c r="C638" s="90"/>
      <c r="D638" s="90"/>
      <c r="E638" s="90"/>
      <c r="F638" s="90"/>
      <c r="G638" s="105"/>
      <c r="H638" s="90"/>
      <c r="I638" s="90"/>
    </row>
    <row r="639" spans="1:9" ht="24.75" customHeight="1" thickBot="1" x14ac:dyDescent="0.25">
      <c r="A639" s="90"/>
      <c r="B639" s="90"/>
      <c r="C639" s="90"/>
      <c r="D639" s="90"/>
      <c r="E639" s="90"/>
      <c r="F639" s="90"/>
      <c r="G639" s="105"/>
      <c r="H639" s="90"/>
      <c r="I639" s="90"/>
    </row>
    <row r="640" spans="1:9" ht="24.75" customHeight="1" thickBot="1" x14ac:dyDescent="0.25">
      <c r="A640" s="90"/>
      <c r="B640" s="90"/>
      <c r="C640" s="90"/>
      <c r="D640" s="90"/>
      <c r="E640" s="90"/>
      <c r="F640" s="90"/>
      <c r="G640" s="105"/>
      <c r="H640" s="90"/>
      <c r="I640" s="90"/>
    </row>
    <row r="641" spans="1:9" ht="24.75" customHeight="1" thickBot="1" x14ac:dyDescent="0.25">
      <c r="A641" s="90"/>
      <c r="B641" s="90"/>
      <c r="C641" s="90"/>
      <c r="D641" s="90"/>
      <c r="E641" s="90"/>
      <c r="F641" s="90"/>
      <c r="G641" s="105"/>
      <c r="H641" s="90"/>
      <c r="I641" s="90"/>
    </row>
    <row r="642" spans="1:9" ht="24.75" customHeight="1" thickBot="1" x14ac:dyDescent="0.25">
      <c r="A642" s="90"/>
      <c r="B642" s="90"/>
      <c r="C642" s="90"/>
      <c r="D642" s="90"/>
      <c r="E642" s="90"/>
      <c r="F642" s="90"/>
      <c r="G642" s="105"/>
      <c r="H642" s="90"/>
      <c r="I642" s="90"/>
    </row>
    <row r="643" spans="1:9" ht="24.75" customHeight="1" thickBot="1" x14ac:dyDescent="0.25">
      <c r="A643" s="90"/>
      <c r="B643" s="90"/>
      <c r="C643" s="90"/>
      <c r="D643" s="90"/>
      <c r="E643" s="90"/>
      <c r="F643" s="90"/>
      <c r="G643" s="105"/>
      <c r="H643" s="90"/>
      <c r="I643" s="90"/>
    </row>
    <row r="644" spans="1:9" ht="24.75" customHeight="1" thickBot="1" x14ac:dyDescent="0.25">
      <c r="A644" s="90"/>
      <c r="B644" s="90"/>
      <c r="C644" s="90"/>
      <c r="D644" s="90"/>
      <c r="E644" s="90"/>
      <c r="F644" s="90"/>
      <c r="G644" s="105"/>
      <c r="H644" s="90"/>
      <c r="I644" s="90"/>
    </row>
    <row r="645" spans="1:9" ht="24.75" customHeight="1" thickBot="1" x14ac:dyDescent="0.25">
      <c r="A645" s="90"/>
      <c r="B645" s="90"/>
      <c r="C645" s="90"/>
      <c r="D645" s="90"/>
      <c r="E645" s="90"/>
      <c r="F645" s="90"/>
      <c r="G645" s="105"/>
      <c r="H645" s="90"/>
      <c r="I645" s="90"/>
    </row>
    <row r="646" spans="1:9" ht="24.75" customHeight="1" thickBot="1" x14ac:dyDescent="0.25">
      <c r="A646" s="90"/>
      <c r="B646" s="90"/>
      <c r="C646" s="90"/>
      <c r="D646" s="90"/>
      <c r="E646" s="90"/>
      <c r="F646" s="90"/>
      <c r="G646" s="105"/>
      <c r="H646" s="90"/>
      <c r="I646" s="90"/>
    </row>
    <row r="647" spans="1:9" ht="24.75" customHeight="1" thickBot="1" x14ac:dyDescent="0.25">
      <c r="A647" s="90"/>
      <c r="B647" s="90"/>
      <c r="C647" s="90"/>
      <c r="D647" s="90"/>
      <c r="E647" s="90"/>
      <c r="F647" s="90"/>
      <c r="G647" s="105"/>
      <c r="H647" s="90"/>
      <c r="I647" s="90"/>
    </row>
    <row r="648" spans="1:9" ht="24.75" customHeight="1" thickBot="1" x14ac:dyDescent="0.25">
      <c r="A648" s="90"/>
      <c r="B648" s="90"/>
      <c r="C648" s="90"/>
      <c r="D648" s="90"/>
      <c r="E648" s="90"/>
      <c r="F648" s="90"/>
      <c r="G648" s="105"/>
      <c r="H648" s="90"/>
      <c r="I648" s="90"/>
    </row>
    <row r="649" spans="1:9" ht="24.75" customHeight="1" thickBot="1" x14ac:dyDescent="0.25">
      <c r="A649" s="90"/>
      <c r="B649" s="90"/>
      <c r="C649" s="90"/>
      <c r="D649" s="90"/>
      <c r="E649" s="90"/>
      <c r="F649" s="90"/>
      <c r="G649" s="105"/>
      <c r="H649" s="90"/>
      <c r="I649" s="90"/>
    </row>
    <row r="650" spans="1:9" ht="24.75" customHeight="1" thickBot="1" x14ac:dyDescent="0.25">
      <c r="A650" s="90"/>
      <c r="B650" s="90"/>
      <c r="C650" s="90"/>
      <c r="D650" s="90"/>
      <c r="E650" s="90"/>
      <c r="F650" s="90"/>
      <c r="G650" s="105"/>
      <c r="H650" s="90"/>
      <c r="I650" s="90"/>
    </row>
    <row r="651" spans="1:9" ht="24.75" customHeight="1" thickBot="1" x14ac:dyDescent="0.25">
      <c r="A651" s="90"/>
      <c r="B651" s="90"/>
      <c r="C651" s="90"/>
      <c r="D651" s="90"/>
      <c r="E651" s="90"/>
      <c r="F651" s="90"/>
      <c r="G651" s="105"/>
      <c r="H651" s="90"/>
      <c r="I651" s="90"/>
    </row>
    <row r="652" spans="1:9" ht="24.75" customHeight="1" thickBot="1" x14ac:dyDescent="0.25">
      <c r="A652" s="90"/>
      <c r="B652" s="90"/>
      <c r="C652" s="90"/>
      <c r="D652" s="90"/>
      <c r="E652" s="90"/>
      <c r="F652" s="90"/>
      <c r="G652" s="105"/>
      <c r="H652" s="90"/>
      <c r="I652" s="90"/>
    </row>
    <row r="653" spans="1:9" ht="24.75" customHeight="1" thickBot="1" x14ac:dyDescent="0.25">
      <c r="A653" s="90"/>
      <c r="B653" s="90"/>
      <c r="C653" s="90"/>
      <c r="D653" s="90"/>
      <c r="E653" s="90"/>
      <c r="F653" s="90"/>
      <c r="G653" s="105"/>
      <c r="H653" s="90"/>
      <c r="I653" s="90"/>
    </row>
    <row r="654" spans="1:9" ht="24.75" customHeight="1" thickBot="1" x14ac:dyDescent="0.25">
      <c r="A654" s="90"/>
      <c r="B654" s="90"/>
      <c r="C654" s="90"/>
      <c r="D654" s="90"/>
      <c r="E654" s="90"/>
      <c r="F654" s="90"/>
      <c r="G654" s="105"/>
      <c r="H654" s="90"/>
      <c r="I654" s="90"/>
    </row>
    <row r="655" spans="1:9" ht="24.75" customHeight="1" thickBot="1" x14ac:dyDescent="0.25">
      <c r="A655" s="90"/>
      <c r="B655" s="90"/>
      <c r="C655" s="90"/>
      <c r="D655" s="90"/>
      <c r="E655" s="90"/>
      <c r="F655" s="90"/>
      <c r="G655" s="105"/>
      <c r="H655" s="90"/>
      <c r="I655" s="90"/>
    </row>
    <row r="656" spans="1:9" ht="24.75" customHeight="1" thickBot="1" x14ac:dyDescent="0.25">
      <c r="A656" s="90"/>
      <c r="B656" s="90"/>
      <c r="C656" s="90"/>
      <c r="D656" s="90"/>
      <c r="E656" s="90"/>
      <c r="F656" s="90"/>
      <c r="G656" s="105"/>
      <c r="H656" s="90"/>
      <c r="I656" s="90"/>
    </row>
    <row r="657" spans="1:9" ht="24.75" customHeight="1" thickBot="1" x14ac:dyDescent="0.25">
      <c r="A657" s="90"/>
      <c r="B657" s="90"/>
      <c r="C657" s="90"/>
      <c r="D657" s="90"/>
      <c r="E657" s="90"/>
      <c r="F657" s="90"/>
      <c r="G657" s="105"/>
      <c r="H657" s="90"/>
      <c r="I657" s="90"/>
    </row>
    <row r="658" spans="1:9" ht="24.75" customHeight="1" thickBot="1" x14ac:dyDescent="0.25">
      <c r="A658" s="90"/>
      <c r="B658" s="90"/>
      <c r="C658" s="90"/>
      <c r="D658" s="90"/>
      <c r="E658" s="90"/>
      <c r="F658" s="90"/>
      <c r="G658" s="105"/>
      <c r="H658" s="90"/>
      <c r="I658" s="90"/>
    </row>
    <row r="659" spans="1:9" ht="24.75" customHeight="1" thickBot="1" x14ac:dyDescent="0.25">
      <c r="A659" s="90"/>
      <c r="B659" s="90"/>
      <c r="C659" s="90"/>
      <c r="D659" s="90"/>
      <c r="E659" s="90"/>
      <c r="F659" s="90"/>
      <c r="G659" s="105"/>
      <c r="H659" s="90"/>
      <c r="I659" s="90"/>
    </row>
    <row r="660" spans="1:9" ht="24.75" customHeight="1" thickBot="1" x14ac:dyDescent="0.25">
      <c r="A660" s="90"/>
      <c r="B660" s="90"/>
      <c r="C660" s="90"/>
      <c r="D660" s="90"/>
      <c r="E660" s="90"/>
      <c r="F660" s="90"/>
      <c r="G660" s="105"/>
      <c r="H660" s="90"/>
      <c r="I660" s="90"/>
    </row>
    <row r="661" spans="1:9" ht="24.75" customHeight="1" thickBot="1" x14ac:dyDescent="0.25">
      <c r="A661" s="90"/>
      <c r="B661" s="90"/>
      <c r="C661" s="90"/>
      <c r="D661" s="90"/>
      <c r="E661" s="90"/>
      <c r="F661" s="90"/>
      <c r="G661" s="105"/>
      <c r="H661" s="90"/>
      <c r="I661" s="90"/>
    </row>
    <row r="662" spans="1:9" ht="24.75" customHeight="1" thickBot="1" x14ac:dyDescent="0.25">
      <c r="A662" s="90"/>
      <c r="B662" s="90"/>
      <c r="C662" s="90"/>
      <c r="D662" s="90"/>
      <c r="E662" s="90"/>
      <c r="F662" s="90"/>
      <c r="G662" s="105"/>
      <c r="H662" s="90"/>
      <c r="I662" s="90"/>
    </row>
    <row r="663" spans="1:9" ht="24.75" customHeight="1" thickBot="1" x14ac:dyDescent="0.25">
      <c r="A663" s="90"/>
      <c r="B663" s="90"/>
      <c r="C663" s="90"/>
      <c r="D663" s="90"/>
      <c r="E663" s="90"/>
      <c r="F663" s="90"/>
      <c r="G663" s="105"/>
      <c r="H663" s="90"/>
      <c r="I663" s="90"/>
    </row>
    <row r="664" spans="1:9" ht="24.75" customHeight="1" thickBot="1" x14ac:dyDescent="0.25">
      <c r="A664" s="90"/>
      <c r="B664" s="90"/>
      <c r="C664" s="90"/>
      <c r="D664" s="90"/>
      <c r="E664" s="90"/>
      <c r="F664" s="90"/>
      <c r="G664" s="105"/>
      <c r="H664" s="90"/>
      <c r="I664" s="90"/>
    </row>
    <row r="665" spans="1:9" ht="24.75" customHeight="1" thickBot="1" x14ac:dyDescent="0.25">
      <c r="A665" s="90"/>
      <c r="B665" s="90"/>
      <c r="C665" s="90"/>
      <c r="D665" s="90"/>
      <c r="E665" s="90"/>
      <c r="F665" s="90"/>
      <c r="G665" s="105"/>
      <c r="H665" s="90"/>
      <c r="I665" s="90"/>
    </row>
    <row r="666" spans="1:9" ht="24.75" customHeight="1" thickBot="1" x14ac:dyDescent="0.25">
      <c r="A666" s="90"/>
      <c r="B666" s="90"/>
      <c r="C666" s="90"/>
      <c r="D666" s="90"/>
      <c r="E666" s="90"/>
      <c r="F666" s="90"/>
      <c r="G666" s="105"/>
      <c r="H666" s="90"/>
      <c r="I666" s="90"/>
    </row>
    <row r="667" spans="1:9" ht="24.75" customHeight="1" thickBot="1" x14ac:dyDescent="0.25">
      <c r="A667" s="90"/>
      <c r="B667" s="90"/>
      <c r="C667" s="90"/>
      <c r="D667" s="90"/>
      <c r="E667" s="90"/>
      <c r="F667" s="90"/>
      <c r="G667" s="105"/>
      <c r="H667" s="90"/>
      <c r="I667" s="90"/>
    </row>
    <row r="668" spans="1:9" ht="24.75" customHeight="1" thickBot="1" x14ac:dyDescent="0.25">
      <c r="A668" s="90"/>
      <c r="B668" s="90"/>
      <c r="C668" s="90"/>
      <c r="D668" s="90"/>
      <c r="E668" s="90"/>
      <c r="F668" s="90"/>
      <c r="G668" s="105"/>
      <c r="H668" s="90"/>
      <c r="I668" s="90"/>
    </row>
    <row r="669" spans="1:9" ht="24.75" customHeight="1" thickBot="1" x14ac:dyDescent="0.25">
      <c r="A669" s="90"/>
      <c r="B669" s="90"/>
      <c r="C669" s="90"/>
      <c r="D669" s="90"/>
      <c r="E669" s="90"/>
      <c r="F669" s="90"/>
      <c r="G669" s="105"/>
      <c r="H669" s="90"/>
      <c r="I669" s="90"/>
    </row>
    <row r="670" spans="1:9" ht="24.75" customHeight="1" thickBot="1" x14ac:dyDescent="0.25">
      <c r="A670" s="90"/>
      <c r="B670" s="90"/>
      <c r="C670" s="90"/>
      <c r="D670" s="90"/>
      <c r="E670" s="90"/>
      <c r="F670" s="90"/>
      <c r="G670" s="105"/>
      <c r="H670" s="90"/>
      <c r="I670" s="90"/>
    </row>
    <row r="671" spans="1:9" ht="24.75" customHeight="1" thickBot="1" x14ac:dyDescent="0.25">
      <c r="A671" s="90"/>
      <c r="B671" s="90"/>
      <c r="C671" s="90"/>
      <c r="D671" s="90"/>
      <c r="E671" s="90"/>
      <c r="F671" s="90"/>
      <c r="G671" s="105"/>
      <c r="H671" s="90"/>
      <c r="I671" s="90"/>
    </row>
    <row r="672" spans="1:9" ht="24.75" customHeight="1" thickBot="1" x14ac:dyDescent="0.25">
      <c r="A672" s="90"/>
      <c r="B672" s="90"/>
      <c r="C672" s="90"/>
      <c r="D672" s="90"/>
      <c r="E672" s="90"/>
      <c r="F672" s="90"/>
      <c r="G672" s="105"/>
      <c r="H672" s="90"/>
      <c r="I672" s="90"/>
    </row>
    <row r="673" spans="1:9" ht="24.75" customHeight="1" thickBot="1" x14ac:dyDescent="0.25">
      <c r="A673" s="90"/>
      <c r="B673" s="90"/>
      <c r="C673" s="90"/>
      <c r="D673" s="90"/>
      <c r="E673" s="90"/>
      <c r="F673" s="90"/>
      <c r="G673" s="105"/>
      <c r="H673" s="90"/>
      <c r="I673" s="90"/>
    </row>
    <row r="674" spans="1:9" ht="24.75" customHeight="1" thickBot="1" x14ac:dyDescent="0.25">
      <c r="A674" s="90"/>
      <c r="B674" s="90"/>
      <c r="C674" s="90"/>
      <c r="D674" s="90"/>
      <c r="E674" s="90"/>
      <c r="F674" s="90"/>
      <c r="G674" s="105"/>
      <c r="H674" s="90"/>
      <c r="I674" s="90"/>
    </row>
    <row r="675" spans="1:9" ht="24.75" customHeight="1" thickBot="1" x14ac:dyDescent="0.25">
      <c r="A675" s="90"/>
      <c r="B675" s="90"/>
      <c r="C675" s="90"/>
      <c r="D675" s="90"/>
      <c r="E675" s="90"/>
      <c r="F675" s="90"/>
      <c r="G675" s="105"/>
      <c r="H675" s="90"/>
      <c r="I675" s="90"/>
    </row>
    <row r="676" spans="1:9" ht="24.75" customHeight="1" thickBot="1" x14ac:dyDescent="0.25">
      <c r="A676" s="90"/>
      <c r="B676" s="90"/>
      <c r="C676" s="90"/>
      <c r="D676" s="90"/>
      <c r="E676" s="90"/>
      <c r="F676" s="90"/>
      <c r="G676" s="105"/>
      <c r="H676" s="90"/>
      <c r="I676" s="90"/>
    </row>
    <row r="677" spans="1:9" ht="24.75" customHeight="1" thickBot="1" x14ac:dyDescent="0.25">
      <c r="A677" s="90"/>
      <c r="B677" s="90"/>
      <c r="C677" s="90"/>
      <c r="D677" s="90"/>
      <c r="E677" s="90"/>
      <c r="F677" s="90"/>
      <c r="G677" s="105"/>
      <c r="H677" s="90"/>
      <c r="I677" s="90"/>
    </row>
    <row r="678" spans="1:9" ht="24.75" customHeight="1" thickBot="1" x14ac:dyDescent="0.25">
      <c r="A678" s="90"/>
      <c r="B678" s="90"/>
      <c r="C678" s="90"/>
      <c r="D678" s="90"/>
      <c r="E678" s="90"/>
      <c r="F678" s="90"/>
      <c r="G678" s="105"/>
      <c r="H678" s="90"/>
      <c r="I678" s="90"/>
    </row>
    <row r="679" spans="1:9" ht="24.75" customHeight="1" thickBot="1" x14ac:dyDescent="0.25">
      <c r="A679" s="90"/>
      <c r="B679" s="90"/>
      <c r="C679" s="90"/>
      <c r="D679" s="90"/>
      <c r="E679" s="90"/>
      <c r="F679" s="90"/>
      <c r="G679" s="105"/>
      <c r="H679" s="90"/>
      <c r="I679" s="90"/>
    </row>
    <row r="680" spans="1:9" ht="24.75" customHeight="1" thickBot="1" x14ac:dyDescent="0.25">
      <c r="A680" s="90"/>
      <c r="B680" s="90"/>
      <c r="C680" s="90"/>
      <c r="D680" s="90"/>
      <c r="E680" s="90"/>
      <c r="F680" s="90"/>
      <c r="G680" s="105"/>
      <c r="H680" s="90"/>
      <c r="I680" s="90"/>
    </row>
    <row r="681" spans="1:9" ht="24.75" customHeight="1" thickBot="1" x14ac:dyDescent="0.25">
      <c r="A681" s="90"/>
      <c r="B681" s="90"/>
      <c r="C681" s="90"/>
      <c r="D681" s="90"/>
      <c r="E681" s="90"/>
      <c r="F681" s="90"/>
      <c r="G681" s="105"/>
      <c r="H681" s="90"/>
      <c r="I681" s="90"/>
    </row>
    <row r="682" spans="1:9" ht="24.75" customHeight="1" thickBot="1" x14ac:dyDescent="0.25">
      <c r="A682" s="90"/>
      <c r="B682" s="90"/>
      <c r="C682" s="90"/>
      <c r="D682" s="90"/>
      <c r="E682" s="90"/>
      <c r="F682" s="90"/>
      <c r="G682" s="105"/>
      <c r="H682" s="90"/>
      <c r="I682" s="90"/>
    </row>
    <row r="683" spans="1:9" ht="24.75" customHeight="1" thickBot="1" x14ac:dyDescent="0.25">
      <c r="A683" s="90"/>
      <c r="B683" s="90"/>
      <c r="C683" s="90"/>
      <c r="D683" s="90"/>
      <c r="E683" s="90"/>
      <c r="F683" s="90"/>
      <c r="G683" s="105"/>
      <c r="H683" s="90"/>
      <c r="I683" s="90"/>
    </row>
    <row r="684" spans="1:9" ht="24.75" customHeight="1" thickBot="1" x14ac:dyDescent="0.25">
      <c r="A684" s="90"/>
      <c r="B684" s="90"/>
      <c r="C684" s="90"/>
      <c r="D684" s="90"/>
      <c r="E684" s="90"/>
      <c r="F684" s="90"/>
      <c r="G684" s="105"/>
      <c r="H684" s="90"/>
      <c r="I684" s="90"/>
    </row>
    <row r="685" spans="1:9" ht="24.75" customHeight="1" thickBot="1" x14ac:dyDescent="0.25">
      <c r="A685" s="90"/>
      <c r="B685" s="90"/>
      <c r="C685" s="90"/>
      <c r="D685" s="90"/>
      <c r="E685" s="90"/>
      <c r="F685" s="90"/>
      <c r="G685" s="105"/>
      <c r="H685" s="90"/>
      <c r="I685" s="90"/>
    </row>
    <row r="686" spans="1:9" ht="24.75" customHeight="1" thickBot="1" x14ac:dyDescent="0.25">
      <c r="A686" s="90"/>
      <c r="B686" s="90"/>
      <c r="C686" s="90"/>
      <c r="D686" s="90"/>
      <c r="E686" s="90"/>
      <c r="F686" s="90"/>
      <c r="G686" s="105"/>
      <c r="H686" s="90"/>
      <c r="I686" s="90"/>
    </row>
    <row r="687" spans="1:9" ht="24.75" customHeight="1" thickBot="1" x14ac:dyDescent="0.25">
      <c r="A687" s="90"/>
      <c r="B687" s="90"/>
      <c r="C687" s="90"/>
      <c r="D687" s="90"/>
      <c r="E687" s="90"/>
      <c r="F687" s="90"/>
      <c r="G687" s="105"/>
      <c r="H687" s="90"/>
      <c r="I687" s="90"/>
    </row>
    <row r="688" spans="1:9" ht="24.75" customHeight="1" thickBot="1" x14ac:dyDescent="0.25">
      <c r="A688" s="90"/>
      <c r="B688" s="90"/>
      <c r="C688" s="90"/>
      <c r="D688" s="90"/>
      <c r="E688" s="90"/>
      <c r="F688" s="90"/>
      <c r="G688" s="105"/>
      <c r="H688" s="90"/>
      <c r="I688" s="90"/>
    </row>
    <row r="689" spans="1:9" ht="24.75" customHeight="1" thickBot="1" x14ac:dyDescent="0.25">
      <c r="A689" s="90"/>
      <c r="B689" s="90"/>
      <c r="C689" s="90"/>
      <c r="D689" s="90"/>
      <c r="E689" s="90"/>
      <c r="F689" s="90"/>
      <c r="G689" s="105"/>
      <c r="H689" s="90"/>
      <c r="I689" s="90"/>
    </row>
    <row r="690" spans="1:9" ht="24.75" customHeight="1" thickBot="1" x14ac:dyDescent="0.25">
      <c r="A690" s="90"/>
      <c r="B690" s="90"/>
      <c r="C690" s="90"/>
      <c r="D690" s="90"/>
      <c r="E690" s="90"/>
      <c r="F690" s="90"/>
      <c r="G690" s="105"/>
      <c r="H690" s="90"/>
      <c r="I690" s="90"/>
    </row>
    <row r="691" spans="1:9" ht="24.75" customHeight="1" thickBot="1" x14ac:dyDescent="0.25">
      <c r="A691" s="90"/>
      <c r="B691" s="90"/>
      <c r="C691" s="90"/>
      <c r="D691" s="90"/>
      <c r="E691" s="90"/>
      <c r="F691" s="90"/>
      <c r="G691" s="105"/>
      <c r="H691" s="90"/>
      <c r="I691" s="90"/>
    </row>
    <row r="692" spans="1:9" ht="24.75" customHeight="1" thickBot="1" x14ac:dyDescent="0.25">
      <c r="A692" s="90"/>
      <c r="B692" s="90"/>
      <c r="C692" s="90"/>
      <c r="D692" s="90"/>
      <c r="E692" s="90"/>
      <c r="F692" s="90"/>
      <c r="G692" s="105"/>
      <c r="H692" s="90"/>
      <c r="I692" s="90"/>
    </row>
    <row r="693" spans="1:9" ht="24.75" customHeight="1" thickBot="1" x14ac:dyDescent="0.25">
      <c r="A693" s="90"/>
      <c r="B693" s="90"/>
      <c r="C693" s="90"/>
      <c r="D693" s="90"/>
      <c r="E693" s="90"/>
      <c r="F693" s="90"/>
      <c r="G693" s="105"/>
      <c r="H693" s="90"/>
      <c r="I693" s="90"/>
    </row>
    <row r="694" spans="1:9" ht="24.75" customHeight="1" thickBot="1" x14ac:dyDescent="0.25">
      <c r="A694" s="90"/>
      <c r="B694" s="90"/>
      <c r="C694" s="90"/>
      <c r="D694" s="90"/>
      <c r="E694" s="90"/>
      <c r="F694" s="90"/>
      <c r="G694" s="105"/>
      <c r="H694" s="90"/>
      <c r="I694" s="90"/>
    </row>
    <row r="695" spans="1:9" ht="24.75" customHeight="1" thickBot="1" x14ac:dyDescent="0.25">
      <c r="A695" s="90"/>
      <c r="B695" s="90"/>
      <c r="C695" s="90"/>
      <c r="D695" s="90"/>
      <c r="E695" s="90"/>
      <c r="F695" s="90"/>
      <c r="G695" s="105"/>
      <c r="H695" s="90"/>
      <c r="I695" s="90"/>
    </row>
    <row r="696" spans="1:9" ht="24.75" customHeight="1" thickBot="1" x14ac:dyDescent="0.25">
      <c r="A696" s="90"/>
      <c r="B696" s="90"/>
      <c r="C696" s="90"/>
      <c r="D696" s="90"/>
      <c r="E696" s="90"/>
      <c r="F696" s="90"/>
      <c r="G696" s="105"/>
      <c r="H696" s="90"/>
      <c r="I696" s="90"/>
    </row>
    <row r="697" spans="1:9" ht="24.75" customHeight="1" thickBot="1" x14ac:dyDescent="0.25">
      <c r="A697" s="90"/>
      <c r="B697" s="90"/>
      <c r="C697" s="90"/>
      <c r="D697" s="90"/>
      <c r="E697" s="90"/>
      <c r="F697" s="90"/>
      <c r="G697" s="105"/>
      <c r="H697" s="90"/>
      <c r="I697" s="90"/>
    </row>
    <row r="698" spans="1:9" ht="24.75" customHeight="1" thickBot="1" x14ac:dyDescent="0.25">
      <c r="A698" s="90"/>
      <c r="B698" s="90"/>
      <c r="C698" s="90"/>
      <c r="D698" s="90"/>
      <c r="E698" s="90"/>
      <c r="F698" s="90"/>
      <c r="G698" s="105"/>
      <c r="H698" s="90"/>
      <c r="I698" s="90"/>
    </row>
    <row r="699" spans="1:9" ht="24.75" customHeight="1" thickBot="1" x14ac:dyDescent="0.25">
      <c r="A699" s="90"/>
      <c r="B699" s="90"/>
      <c r="C699" s="90"/>
      <c r="D699" s="90"/>
      <c r="E699" s="90"/>
      <c r="F699" s="90"/>
      <c r="G699" s="105"/>
      <c r="H699" s="90"/>
      <c r="I699" s="90"/>
    </row>
    <row r="700" spans="1:9" ht="24.75" customHeight="1" thickBot="1" x14ac:dyDescent="0.25">
      <c r="A700" s="90"/>
      <c r="B700" s="90"/>
      <c r="C700" s="90"/>
      <c r="D700" s="90"/>
      <c r="E700" s="90"/>
      <c r="F700" s="90"/>
      <c r="G700" s="105"/>
      <c r="H700" s="90"/>
      <c r="I700" s="90"/>
    </row>
    <row r="701" spans="1:9" ht="24.75" customHeight="1" thickBot="1" x14ac:dyDescent="0.25">
      <c r="A701" s="90"/>
      <c r="B701" s="90"/>
      <c r="C701" s="90"/>
      <c r="D701" s="90"/>
      <c r="E701" s="90"/>
      <c r="F701" s="90"/>
      <c r="G701" s="105"/>
      <c r="H701" s="90"/>
      <c r="I701" s="90"/>
    </row>
    <row r="702" spans="1:9" ht="24.75" customHeight="1" thickBot="1" x14ac:dyDescent="0.25">
      <c r="A702" s="90"/>
      <c r="B702" s="90"/>
      <c r="C702" s="90"/>
      <c r="D702" s="90"/>
      <c r="E702" s="90"/>
      <c r="F702" s="90"/>
      <c r="G702" s="105"/>
      <c r="H702" s="90"/>
      <c r="I702" s="90"/>
    </row>
    <row r="703" spans="1:9" ht="24.75" customHeight="1" thickBot="1" x14ac:dyDescent="0.25">
      <c r="A703" s="90"/>
      <c r="B703" s="90"/>
      <c r="C703" s="90"/>
      <c r="D703" s="90"/>
      <c r="E703" s="90"/>
      <c r="F703" s="90"/>
      <c r="G703" s="105"/>
      <c r="H703" s="90"/>
      <c r="I703" s="90"/>
    </row>
    <row r="704" spans="1:9" ht="24.75" customHeight="1" thickBot="1" x14ac:dyDescent="0.25">
      <c r="A704" s="90"/>
      <c r="B704" s="90"/>
      <c r="C704" s="90"/>
      <c r="D704" s="90"/>
      <c r="E704" s="90"/>
      <c r="F704" s="90"/>
      <c r="G704" s="105"/>
      <c r="H704" s="90"/>
      <c r="I704" s="90"/>
    </row>
    <row r="705" spans="1:9" ht="24.75" customHeight="1" thickBot="1" x14ac:dyDescent="0.25">
      <c r="A705" s="90"/>
      <c r="B705" s="90"/>
      <c r="C705" s="90"/>
      <c r="D705" s="90"/>
      <c r="E705" s="90"/>
      <c r="F705" s="90"/>
      <c r="G705" s="105"/>
      <c r="H705" s="90"/>
      <c r="I705" s="90"/>
    </row>
    <row r="706" spans="1:9" ht="24.75" customHeight="1" thickBot="1" x14ac:dyDescent="0.25">
      <c r="A706" s="90"/>
      <c r="B706" s="90"/>
      <c r="C706" s="90"/>
      <c r="D706" s="90"/>
      <c r="E706" s="90"/>
      <c r="F706" s="90"/>
      <c r="G706" s="105"/>
      <c r="H706" s="90"/>
      <c r="I706" s="90"/>
    </row>
    <row r="707" spans="1:9" ht="24.75" customHeight="1" thickBot="1" x14ac:dyDescent="0.25">
      <c r="A707" s="90"/>
      <c r="B707" s="90"/>
      <c r="C707" s="90"/>
      <c r="D707" s="90"/>
      <c r="E707" s="90"/>
      <c r="F707" s="90"/>
      <c r="G707" s="105"/>
      <c r="H707" s="90"/>
      <c r="I707" s="90"/>
    </row>
    <row r="708" spans="1:9" ht="24.75" customHeight="1" thickBot="1" x14ac:dyDescent="0.25">
      <c r="A708" s="90"/>
      <c r="B708" s="90"/>
      <c r="C708" s="90"/>
      <c r="D708" s="90"/>
      <c r="E708" s="90"/>
      <c r="F708" s="90"/>
      <c r="G708" s="105"/>
      <c r="H708" s="90"/>
      <c r="I708" s="90"/>
    </row>
    <row r="709" spans="1:9" ht="24.75" customHeight="1" thickBot="1" x14ac:dyDescent="0.25">
      <c r="A709" s="90"/>
      <c r="B709" s="90"/>
      <c r="C709" s="90"/>
      <c r="D709" s="90"/>
      <c r="E709" s="90"/>
      <c r="F709" s="90"/>
      <c r="G709" s="105"/>
      <c r="H709" s="90"/>
      <c r="I709" s="90"/>
    </row>
    <row r="710" spans="1:9" ht="24.75" customHeight="1" thickBot="1" x14ac:dyDescent="0.25">
      <c r="A710" s="90"/>
      <c r="B710" s="90"/>
      <c r="C710" s="90"/>
      <c r="D710" s="90"/>
      <c r="E710" s="90"/>
      <c r="F710" s="90"/>
      <c r="G710" s="105"/>
      <c r="H710" s="90"/>
      <c r="I710" s="90"/>
    </row>
    <row r="711" spans="1:9" ht="24.75" customHeight="1" thickBot="1" x14ac:dyDescent="0.25">
      <c r="A711" s="90"/>
      <c r="B711" s="90"/>
      <c r="C711" s="90"/>
      <c r="D711" s="90"/>
      <c r="E711" s="90"/>
      <c r="F711" s="90"/>
      <c r="G711" s="105"/>
      <c r="H711" s="90"/>
      <c r="I711" s="90"/>
    </row>
    <row r="712" spans="1:9" ht="24.75" customHeight="1" thickBot="1" x14ac:dyDescent="0.25">
      <c r="A712" s="90"/>
      <c r="B712" s="90"/>
      <c r="C712" s="90"/>
      <c r="D712" s="90"/>
      <c r="E712" s="90"/>
      <c r="F712" s="90"/>
      <c r="G712" s="105"/>
      <c r="H712" s="90"/>
      <c r="I712" s="90"/>
    </row>
    <row r="713" spans="1:9" ht="24.75" customHeight="1" thickBot="1" x14ac:dyDescent="0.25">
      <c r="A713" s="90"/>
      <c r="B713" s="90"/>
      <c r="C713" s="90"/>
      <c r="D713" s="90"/>
      <c r="E713" s="90"/>
      <c r="F713" s="90"/>
      <c r="G713" s="105"/>
      <c r="H713" s="90"/>
      <c r="I713" s="90"/>
    </row>
    <row r="714" spans="1:9" ht="24.75" customHeight="1" thickBot="1" x14ac:dyDescent="0.25">
      <c r="A714" s="90"/>
      <c r="B714" s="90"/>
      <c r="C714" s="90"/>
      <c r="D714" s="90"/>
      <c r="E714" s="90"/>
      <c r="F714" s="90"/>
      <c r="G714" s="105"/>
      <c r="H714" s="90"/>
      <c r="I714" s="90"/>
    </row>
    <row r="715" spans="1:9" ht="24.75" customHeight="1" thickBot="1" x14ac:dyDescent="0.25">
      <c r="A715" s="90"/>
      <c r="B715" s="90"/>
      <c r="C715" s="90"/>
      <c r="D715" s="90"/>
      <c r="E715" s="90"/>
      <c r="F715" s="90"/>
      <c r="G715" s="105"/>
      <c r="H715" s="90"/>
      <c r="I715" s="90"/>
    </row>
    <row r="716" spans="1:9" ht="24.75" customHeight="1" thickBot="1" x14ac:dyDescent="0.25">
      <c r="A716" s="90"/>
      <c r="B716" s="90"/>
      <c r="C716" s="90"/>
      <c r="D716" s="90"/>
      <c r="E716" s="90"/>
      <c r="F716" s="90"/>
      <c r="G716" s="105"/>
      <c r="H716" s="90"/>
      <c r="I716" s="90"/>
    </row>
    <row r="717" spans="1:9" ht="24.75" customHeight="1" thickBot="1" x14ac:dyDescent="0.25">
      <c r="A717" s="90"/>
      <c r="B717" s="90"/>
      <c r="C717" s="90"/>
      <c r="D717" s="90"/>
      <c r="E717" s="90"/>
      <c r="F717" s="90"/>
      <c r="G717" s="105"/>
      <c r="H717" s="90"/>
      <c r="I717" s="90"/>
    </row>
    <row r="718" spans="1:9" ht="24.75" customHeight="1" thickBot="1" x14ac:dyDescent="0.25">
      <c r="A718" s="90"/>
      <c r="B718" s="90"/>
      <c r="C718" s="90"/>
      <c r="D718" s="90"/>
      <c r="E718" s="90"/>
      <c r="F718" s="90"/>
      <c r="G718" s="105"/>
      <c r="H718" s="90"/>
      <c r="I718" s="90"/>
    </row>
    <row r="719" spans="1:9" ht="24.75" customHeight="1" thickBot="1" x14ac:dyDescent="0.25">
      <c r="A719" s="90"/>
      <c r="B719" s="90"/>
      <c r="C719" s="90"/>
      <c r="D719" s="90"/>
      <c r="E719" s="90"/>
      <c r="F719" s="90"/>
      <c r="G719" s="105"/>
      <c r="H719" s="90"/>
      <c r="I719" s="90"/>
    </row>
    <row r="720" spans="1:9" ht="24.75" customHeight="1" thickBot="1" x14ac:dyDescent="0.25">
      <c r="A720" s="90"/>
      <c r="B720" s="90"/>
      <c r="C720" s="90"/>
      <c r="D720" s="90"/>
      <c r="E720" s="90"/>
      <c r="F720" s="90"/>
      <c r="G720" s="105"/>
      <c r="H720" s="90"/>
      <c r="I720" s="90"/>
    </row>
    <row r="721" spans="1:9" ht="24.75" customHeight="1" thickBot="1" x14ac:dyDescent="0.25">
      <c r="A721" s="90"/>
      <c r="B721" s="90"/>
      <c r="C721" s="90"/>
      <c r="D721" s="90"/>
      <c r="E721" s="90"/>
      <c r="F721" s="90"/>
      <c r="G721" s="105"/>
      <c r="H721" s="90"/>
      <c r="I721" s="90"/>
    </row>
    <row r="722" spans="1:9" ht="24.75" customHeight="1" thickBot="1" x14ac:dyDescent="0.25">
      <c r="A722" s="90"/>
      <c r="B722" s="90"/>
      <c r="C722" s="90"/>
      <c r="D722" s="90"/>
      <c r="E722" s="90"/>
      <c r="F722" s="90"/>
      <c r="G722" s="105"/>
      <c r="H722" s="90"/>
      <c r="I722" s="90"/>
    </row>
    <row r="723" spans="1:9" ht="24.75" customHeight="1" thickBot="1" x14ac:dyDescent="0.25">
      <c r="A723" s="90"/>
      <c r="B723" s="90"/>
      <c r="C723" s="90"/>
      <c r="D723" s="90"/>
      <c r="E723" s="90"/>
      <c r="F723" s="90"/>
      <c r="G723" s="105"/>
      <c r="H723" s="90"/>
      <c r="I723" s="90"/>
    </row>
    <row r="724" spans="1:9" ht="24.75" customHeight="1" thickBot="1" x14ac:dyDescent="0.25">
      <c r="A724" s="90"/>
      <c r="B724" s="90"/>
      <c r="C724" s="90"/>
      <c r="D724" s="90"/>
      <c r="E724" s="90"/>
      <c r="F724" s="90"/>
      <c r="G724" s="105"/>
      <c r="H724" s="90"/>
      <c r="I724" s="90"/>
    </row>
    <row r="725" spans="1:9" ht="24.75" customHeight="1" thickBot="1" x14ac:dyDescent="0.25">
      <c r="A725" s="90"/>
      <c r="B725" s="90"/>
      <c r="C725" s="90"/>
      <c r="D725" s="90"/>
      <c r="E725" s="90"/>
      <c r="F725" s="90"/>
      <c r="G725" s="105"/>
      <c r="H725" s="90"/>
      <c r="I725" s="90"/>
    </row>
    <row r="726" spans="1:9" ht="24.75" customHeight="1" thickBot="1" x14ac:dyDescent="0.25">
      <c r="A726" s="90"/>
      <c r="B726" s="90"/>
      <c r="C726" s="90"/>
      <c r="D726" s="90"/>
      <c r="E726" s="90"/>
      <c r="F726" s="90"/>
      <c r="G726" s="105"/>
      <c r="H726" s="90"/>
      <c r="I726" s="90"/>
    </row>
    <row r="727" spans="1:9" ht="24.75" customHeight="1" thickBot="1" x14ac:dyDescent="0.25">
      <c r="A727" s="90"/>
      <c r="B727" s="90"/>
      <c r="C727" s="90"/>
      <c r="D727" s="90"/>
      <c r="E727" s="90"/>
      <c r="F727" s="90"/>
      <c r="G727" s="105"/>
      <c r="H727" s="90"/>
      <c r="I727" s="90"/>
    </row>
    <row r="728" spans="1:9" ht="24.75" customHeight="1" thickBot="1" x14ac:dyDescent="0.25">
      <c r="A728" s="90"/>
      <c r="B728" s="90"/>
      <c r="C728" s="90"/>
      <c r="D728" s="90"/>
      <c r="E728" s="90"/>
      <c r="F728" s="90"/>
      <c r="G728" s="105"/>
      <c r="H728" s="90"/>
      <c r="I728" s="90"/>
    </row>
    <row r="729" spans="1:9" ht="24.75" customHeight="1" thickBot="1" x14ac:dyDescent="0.25">
      <c r="A729" s="90"/>
      <c r="B729" s="90"/>
      <c r="C729" s="90"/>
      <c r="D729" s="90"/>
      <c r="E729" s="90"/>
      <c r="F729" s="90"/>
      <c r="G729" s="105"/>
      <c r="H729" s="90"/>
      <c r="I729" s="90"/>
    </row>
    <row r="730" spans="1:9" ht="24.75" customHeight="1" thickBot="1" x14ac:dyDescent="0.25">
      <c r="A730" s="90"/>
      <c r="B730" s="90"/>
      <c r="C730" s="90"/>
      <c r="D730" s="90"/>
      <c r="E730" s="90"/>
      <c r="F730" s="90"/>
      <c r="G730" s="105"/>
      <c r="H730" s="90"/>
      <c r="I730" s="90"/>
    </row>
    <row r="731" spans="1:9" ht="24.75" customHeight="1" thickBot="1" x14ac:dyDescent="0.25">
      <c r="A731" s="90"/>
      <c r="B731" s="90"/>
      <c r="C731" s="90"/>
      <c r="D731" s="90"/>
      <c r="E731" s="90"/>
      <c r="F731" s="90"/>
      <c r="G731" s="105"/>
      <c r="H731" s="90"/>
      <c r="I731" s="90"/>
    </row>
    <row r="732" spans="1:9" ht="24.75" customHeight="1" thickBot="1" x14ac:dyDescent="0.25">
      <c r="A732" s="90"/>
      <c r="B732" s="90"/>
      <c r="C732" s="90"/>
      <c r="D732" s="90"/>
      <c r="E732" s="90"/>
      <c r="F732" s="90"/>
      <c r="G732" s="105"/>
      <c r="H732" s="90"/>
      <c r="I732" s="90"/>
    </row>
    <row r="733" spans="1:9" ht="24.75" customHeight="1" thickBot="1" x14ac:dyDescent="0.25">
      <c r="A733" s="90"/>
      <c r="B733" s="90"/>
      <c r="C733" s="90"/>
      <c r="D733" s="90"/>
      <c r="E733" s="90"/>
      <c r="F733" s="90"/>
      <c r="G733" s="105"/>
      <c r="H733" s="90"/>
      <c r="I733" s="90"/>
    </row>
    <row r="734" spans="1:9" ht="24.75" customHeight="1" thickBot="1" x14ac:dyDescent="0.25">
      <c r="A734" s="90"/>
      <c r="B734" s="90"/>
      <c r="C734" s="90"/>
      <c r="D734" s="90"/>
      <c r="E734" s="90"/>
      <c r="F734" s="90"/>
      <c r="G734" s="105"/>
      <c r="H734" s="90"/>
      <c r="I734" s="90"/>
    </row>
    <row r="735" spans="1:9" ht="24.75" customHeight="1" thickBot="1" x14ac:dyDescent="0.25">
      <c r="A735" s="90"/>
      <c r="B735" s="90"/>
      <c r="C735" s="90"/>
      <c r="D735" s="90"/>
      <c r="E735" s="90"/>
      <c r="F735" s="90"/>
      <c r="G735" s="105"/>
      <c r="H735" s="90"/>
      <c r="I735" s="90"/>
    </row>
    <row r="736" spans="1:9" ht="24.75" customHeight="1" thickBot="1" x14ac:dyDescent="0.25">
      <c r="A736" s="90"/>
      <c r="B736" s="90"/>
      <c r="C736" s="90"/>
      <c r="D736" s="90"/>
      <c r="E736" s="90"/>
      <c r="F736" s="90"/>
      <c r="G736" s="105"/>
      <c r="H736" s="90"/>
      <c r="I736" s="90"/>
    </row>
    <row r="737" spans="1:9" ht="24.75" customHeight="1" thickBot="1" x14ac:dyDescent="0.25">
      <c r="A737" s="90"/>
      <c r="B737" s="90"/>
      <c r="C737" s="90"/>
      <c r="D737" s="90"/>
      <c r="E737" s="90"/>
      <c r="F737" s="90"/>
      <c r="G737" s="105"/>
      <c r="H737" s="90"/>
      <c r="I737" s="90"/>
    </row>
    <row r="738" spans="1:9" ht="24.75" customHeight="1" thickBot="1" x14ac:dyDescent="0.25">
      <c r="A738" s="90"/>
      <c r="B738" s="90"/>
      <c r="C738" s="90"/>
      <c r="D738" s="90"/>
      <c r="E738" s="90"/>
      <c r="F738" s="90"/>
      <c r="G738" s="105"/>
      <c r="H738" s="90"/>
      <c r="I738" s="90"/>
    </row>
    <row r="739" spans="1:9" ht="24.75" customHeight="1" thickBot="1" x14ac:dyDescent="0.25">
      <c r="A739" s="90"/>
      <c r="B739" s="90"/>
      <c r="C739" s="90"/>
      <c r="D739" s="90"/>
      <c r="E739" s="90"/>
      <c r="F739" s="90"/>
      <c r="G739" s="105"/>
      <c r="H739" s="90"/>
      <c r="I739" s="90"/>
    </row>
    <row r="740" spans="1:9" ht="24.75" customHeight="1" thickBot="1" x14ac:dyDescent="0.25">
      <c r="A740" s="90"/>
      <c r="B740" s="90"/>
      <c r="C740" s="90"/>
      <c r="D740" s="90"/>
      <c r="E740" s="90"/>
      <c r="F740" s="90"/>
      <c r="G740" s="105"/>
      <c r="H740" s="90"/>
      <c r="I740" s="90"/>
    </row>
    <row r="741" spans="1:9" ht="24.75" customHeight="1" thickBot="1" x14ac:dyDescent="0.25">
      <c r="A741" s="90"/>
      <c r="B741" s="90"/>
      <c r="C741" s="90"/>
      <c r="D741" s="90"/>
      <c r="E741" s="90"/>
      <c r="F741" s="90"/>
      <c r="G741" s="105"/>
      <c r="H741" s="90"/>
      <c r="I741" s="90"/>
    </row>
    <row r="742" spans="1:9" ht="24.75" customHeight="1" thickBot="1" x14ac:dyDescent="0.25">
      <c r="A742" s="90"/>
      <c r="B742" s="90"/>
      <c r="C742" s="90"/>
      <c r="D742" s="90"/>
      <c r="E742" s="90"/>
      <c r="F742" s="90"/>
      <c r="G742" s="105"/>
      <c r="H742" s="90"/>
      <c r="I742" s="90"/>
    </row>
    <row r="743" spans="1:9" ht="24.75" customHeight="1" thickBot="1" x14ac:dyDescent="0.25">
      <c r="A743" s="90"/>
      <c r="B743" s="90"/>
      <c r="C743" s="90"/>
      <c r="D743" s="90"/>
      <c r="E743" s="90"/>
      <c r="F743" s="90"/>
      <c r="G743" s="105"/>
      <c r="H743" s="90"/>
      <c r="I743" s="90"/>
    </row>
    <row r="744" spans="1:9" ht="24.75" customHeight="1" thickBot="1" x14ac:dyDescent="0.25">
      <c r="A744" s="90"/>
      <c r="B744" s="90"/>
      <c r="C744" s="90"/>
      <c r="D744" s="90"/>
      <c r="E744" s="90"/>
      <c r="F744" s="90"/>
      <c r="G744" s="105"/>
      <c r="H744" s="90"/>
      <c r="I744" s="90"/>
    </row>
    <row r="745" spans="1:9" ht="24.75" customHeight="1" thickBot="1" x14ac:dyDescent="0.25">
      <c r="A745" s="90"/>
      <c r="B745" s="90"/>
      <c r="C745" s="90"/>
      <c r="D745" s="90"/>
      <c r="E745" s="90"/>
      <c r="F745" s="90"/>
      <c r="G745" s="105"/>
      <c r="H745" s="90"/>
      <c r="I745" s="90"/>
    </row>
    <row r="746" spans="1:9" ht="24.75" customHeight="1" thickBot="1" x14ac:dyDescent="0.25">
      <c r="A746" s="90"/>
      <c r="B746" s="90"/>
      <c r="C746" s="90"/>
      <c r="D746" s="90"/>
      <c r="E746" s="90"/>
      <c r="F746" s="90"/>
      <c r="G746" s="105"/>
      <c r="H746" s="90"/>
      <c r="I746" s="90"/>
    </row>
    <row r="747" spans="1:9" ht="24.75" customHeight="1" thickBot="1" x14ac:dyDescent="0.25">
      <c r="A747" s="90"/>
      <c r="B747" s="90"/>
      <c r="C747" s="90"/>
      <c r="D747" s="90"/>
      <c r="E747" s="90"/>
      <c r="F747" s="90"/>
      <c r="G747" s="105"/>
      <c r="H747" s="90"/>
      <c r="I747" s="90"/>
    </row>
    <row r="748" spans="1:9" ht="24.75" customHeight="1" thickBot="1" x14ac:dyDescent="0.25">
      <c r="A748" s="90"/>
      <c r="B748" s="90"/>
      <c r="C748" s="90"/>
      <c r="D748" s="90"/>
      <c r="E748" s="90"/>
      <c r="F748" s="90"/>
      <c r="G748" s="105"/>
      <c r="H748" s="90"/>
      <c r="I748" s="90"/>
    </row>
    <row r="749" spans="1:9" ht="24.75" customHeight="1" thickBot="1" x14ac:dyDescent="0.25">
      <c r="A749" s="90"/>
      <c r="B749" s="90"/>
      <c r="C749" s="90"/>
      <c r="D749" s="90"/>
      <c r="E749" s="90"/>
      <c r="F749" s="90"/>
      <c r="G749" s="105"/>
      <c r="H749" s="90"/>
      <c r="I749" s="90"/>
    </row>
    <row r="750" spans="1:9" ht="24.75" customHeight="1" thickBot="1" x14ac:dyDescent="0.25">
      <c r="A750" s="90"/>
      <c r="B750" s="90"/>
      <c r="C750" s="90"/>
      <c r="D750" s="90"/>
      <c r="E750" s="90"/>
      <c r="F750" s="90"/>
      <c r="G750" s="105"/>
      <c r="H750" s="90"/>
      <c r="I750" s="90"/>
    </row>
    <row r="751" spans="1:9" ht="24.75" customHeight="1" thickBot="1" x14ac:dyDescent="0.25">
      <c r="A751" s="90"/>
      <c r="B751" s="90"/>
      <c r="C751" s="90"/>
      <c r="D751" s="90"/>
      <c r="E751" s="90"/>
      <c r="F751" s="90"/>
      <c r="G751" s="105"/>
      <c r="H751" s="90"/>
      <c r="I751" s="90"/>
    </row>
    <row r="752" spans="1:9" ht="24.75" customHeight="1" thickBot="1" x14ac:dyDescent="0.25">
      <c r="A752" s="90"/>
      <c r="B752" s="90"/>
      <c r="C752" s="90"/>
      <c r="D752" s="90"/>
      <c r="E752" s="90"/>
      <c r="F752" s="90"/>
      <c r="G752" s="105"/>
      <c r="H752" s="90"/>
      <c r="I752" s="90"/>
    </row>
    <row r="753" spans="1:9" ht="24.75" customHeight="1" thickBot="1" x14ac:dyDescent="0.25">
      <c r="A753" s="90"/>
      <c r="B753" s="90"/>
      <c r="C753" s="90"/>
      <c r="D753" s="90"/>
      <c r="E753" s="90"/>
      <c r="F753" s="90"/>
      <c r="G753" s="105"/>
      <c r="H753" s="90"/>
      <c r="I753" s="90"/>
    </row>
    <row r="754" spans="1:9" ht="24.75" customHeight="1" thickBot="1" x14ac:dyDescent="0.25">
      <c r="A754" s="90"/>
      <c r="B754" s="90"/>
      <c r="C754" s="90"/>
      <c r="D754" s="90"/>
      <c r="E754" s="90"/>
      <c r="F754" s="90"/>
      <c r="G754" s="105"/>
      <c r="H754" s="90"/>
      <c r="I754" s="90"/>
    </row>
    <row r="755" spans="1:9" ht="24.75" customHeight="1" thickBot="1" x14ac:dyDescent="0.25">
      <c r="A755" s="90"/>
      <c r="B755" s="90"/>
      <c r="C755" s="90"/>
      <c r="D755" s="90"/>
      <c r="E755" s="90"/>
      <c r="F755" s="90"/>
      <c r="G755" s="105"/>
      <c r="H755" s="90"/>
      <c r="I755" s="90"/>
    </row>
    <row r="756" spans="1:9" ht="24.75" customHeight="1" thickBot="1" x14ac:dyDescent="0.25">
      <c r="A756" s="90"/>
      <c r="B756" s="90"/>
      <c r="C756" s="90"/>
      <c r="D756" s="90"/>
      <c r="E756" s="90"/>
      <c r="F756" s="90"/>
      <c r="G756" s="105"/>
      <c r="H756" s="90"/>
      <c r="I756" s="90"/>
    </row>
    <row r="757" spans="1:9" ht="24.75" customHeight="1" thickBot="1" x14ac:dyDescent="0.25">
      <c r="A757" s="90"/>
      <c r="B757" s="90"/>
      <c r="C757" s="90"/>
      <c r="D757" s="90"/>
      <c r="E757" s="90"/>
      <c r="F757" s="90"/>
      <c r="G757" s="105"/>
      <c r="H757" s="90"/>
      <c r="I757" s="90"/>
    </row>
    <row r="758" spans="1:9" ht="24.75" customHeight="1" thickBot="1" x14ac:dyDescent="0.25">
      <c r="A758" s="90"/>
      <c r="B758" s="90"/>
      <c r="C758" s="90"/>
      <c r="D758" s="90"/>
      <c r="E758" s="90"/>
      <c r="F758" s="90"/>
      <c r="G758" s="105"/>
      <c r="H758" s="90"/>
      <c r="I758" s="90"/>
    </row>
    <row r="759" spans="1:9" ht="24.75" customHeight="1" thickBot="1" x14ac:dyDescent="0.25">
      <c r="A759" s="90"/>
      <c r="B759" s="90"/>
      <c r="C759" s="90"/>
      <c r="D759" s="90"/>
      <c r="E759" s="90"/>
      <c r="F759" s="90"/>
      <c r="G759" s="105"/>
      <c r="H759" s="90"/>
      <c r="I759" s="90"/>
    </row>
    <row r="760" spans="1:9" ht="24.75" customHeight="1" thickBot="1" x14ac:dyDescent="0.25">
      <c r="A760" s="90"/>
      <c r="B760" s="90"/>
      <c r="C760" s="90"/>
      <c r="D760" s="90"/>
      <c r="E760" s="90"/>
      <c r="F760" s="90"/>
      <c r="G760" s="105"/>
      <c r="H760" s="90"/>
      <c r="I760" s="90"/>
    </row>
    <row r="761" spans="1:9" ht="24.75" customHeight="1" thickBot="1" x14ac:dyDescent="0.25">
      <c r="A761" s="90"/>
      <c r="B761" s="90"/>
      <c r="C761" s="90"/>
      <c r="D761" s="90"/>
      <c r="E761" s="90"/>
      <c r="F761" s="90"/>
      <c r="G761" s="105"/>
      <c r="H761" s="90"/>
      <c r="I761" s="90"/>
    </row>
    <row r="762" spans="1:9" ht="24.75" customHeight="1" thickBot="1" x14ac:dyDescent="0.25">
      <c r="A762" s="90"/>
      <c r="B762" s="90"/>
      <c r="C762" s="90"/>
      <c r="D762" s="90"/>
      <c r="E762" s="90"/>
      <c r="F762" s="90"/>
      <c r="G762" s="105"/>
      <c r="H762" s="90"/>
      <c r="I762" s="90"/>
    </row>
    <row r="763" spans="1:9" ht="24.75" customHeight="1" thickBot="1" x14ac:dyDescent="0.25">
      <c r="A763" s="90"/>
      <c r="B763" s="90"/>
      <c r="C763" s="90"/>
      <c r="D763" s="90"/>
      <c r="E763" s="90"/>
      <c r="F763" s="90"/>
      <c r="G763" s="105"/>
      <c r="H763" s="90"/>
      <c r="I763" s="90"/>
    </row>
    <row r="764" spans="1:9" ht="24.75" customHeight="1" thickBot="1" x14ac:dyDescent="0.25">
      <c r="A764" s="90"/>
      <c r="B764" s="90"/>
      <c r="C764" s="90"/>
      <c r="D764" s="90"/>
      <c r="E764" s="90"/>
      <c r="F764" s="90"/>
      <c r="G764" s="105"/>
      <c r="H764" s="90"/>
      <c r="I764" s="90"/>
    </row>
    <row r="765" spans="1:9" ht="24.75" customHeight="1" thickBot="1" x14ac:dyDescent="0.25">
      <c r="A765" s="90"/>
      <c r="B765" s="90"/>
      <c r="C765" s="90"/>
      <c r="D765" s="90"/>
      <c r="E765" s="90"/>
      <c r="F765" s="90"/>
      <c r="G765" s="105"/>
      <c r="H765" s="90"/>
      <c r="I765" s="90"/>
    </row>
    <row r="766" spans="1:9" ht="24.75" customHeight="1" thickBot="1" x14ac:dyDescent="0.25">
      <c r="A766" s="90"/>
      <c r="B766" s="90"/>
      <c r="C766" s="90"/>
      <c r="D766" s="90"/>
      <c r="E766" s="90"/>
      <c r="F766" s="90"/>
      <c r="G766" s="105"/>
      <c r="H766" s="90"/>
      <c r="I766" s="90"/>
    </row>
    <row r="767" spans="1:9" ht="24.75" customHeight="1" thickBot="1" x14ac:dyDescent="0.25">
      <c r="A767" s="90"/>
      <c r="B767" s="90"/>
      <c r="C767" s="90"/>
      <c r="D767" s="90"/>
      <c r="E767" s="90"/>
      <c r="F767" s="90"/>
      <c r="G767" s="105"/>
      <c r="H767" s="90"/>
      <c r="I767" s="90"/>
    </row>
    <row r="768" spans="1:9" ht="24.75" customHeight="1" thickBot="1" x14ac:dyDescent="0.25">
      <c r="A768" s="90"/>
      <c r="B768" s="90"/>
      <c r="C768" s="90"/>
      <c r="D768" s="90"/>
      <c r="E768" s="90"/>
      <c r="F768" s="90"/>
      <c r="G768" s="105"/>
      <c r="H768" s="90"/>
      <c r="I768" s="90"/>
    </row>
    <row r="769" spans="1:9" ht="24.75" customHeight="1" thickBot="1" x14ac:dyDescent="0.25">
      <c r="A769" s="90"/>
      <c r="B769" s="90"/>
      <c r="C769" s="90"/>
      <c r="D769" s="90"/>
      <c r="E769" s="90"/>
      <c r="F769" s="90"/>
      <c r="G769" s="105"/>
      <c r="H769" s="90"/>
      <c r="I769" s="90"/>
    </row>
    <row r="770" spans="1:9" ht="24.75" customHeight="1" thickBot="1" x14ac:dyDescent="0.25">
      <c r="A770" s="90"/>
      <c r="B770" s="90"/>
      <c r="C770" s="90"/>
      <c r="D770" s="90"/>
      <c r="E770" s="90"/>
      <c r="F770" s="90"/>
      <c r="G770" s="105"/>
      <c r="H770" s="90"/>
      <c r="I770" s="90"/>
    </row>
    <row r="771" spans="1:9" ht="24.75" customHeight="1" thickBot="1" x14ac:dyDescent="0.25">
      <c r="A771" s="90"/>
      <c r="B771" s="90"/>
      <c r="C771" s="90"/>
      <c r="D771" s="90"/>
      <c r="E771" s="90"/>
      <c r="F771" s="90"/>
      <c r="G771" s="105"/>
      <c r="H771" s="90"/>
      <c r="I771" s="90"/>
    </row>
    <row r="772" spans="1:9" ht="24.75" customHeight="1" thickBot="1" x14ac:dyDescent="0.25">
      <c r="A772" s="90"/>
      <c r="B772" s="90"/>
      <c r="C772" s="90"/>
      <c r="D772" s="90"/>
      <c r="E772" s="90"/>
      <c r="F772" s="90"/>
      <c r="G772" s="105"/>
      <c r="H772" s="90"/>
      <c r="I772" s="90"/>
    </row>
    <row r="773" spans="1:9" ht="24.75" customHeight="1" thickBot="1" x14ac:dyDescent="0.25">
      <c r="A773" s="90"/>
      <c r="B773" s="90"/>
      <c r="C773" s="90"/>
      <c r="D773" s="90"/>
      <c r="E773" s="90"/>
      <c r="F773" s="90"/>
      <c r="G773" s="105"/>
      <c r="H773" s="90"/>
      <c r="I773" s="90"/>
    </row>
    <row r="774" spans="1:9" ht="24.75" customHeight="1" thickBot="1" x14ac:dyDescent="0.25">
      <c r="A774" s="90"/>
      <c r="B774" s="90"/>
      <c r="C774" s="90"/>
      <c r="D774" s="90"/>
      <c r="E774" s="90"/>
      <c r="F774" s="90"/>
      <c r="G774" s="105"/>
      <c r="H774" s="90"/>
      <c r="I774" s="90"/>
    </row>
    <row r="775" spans="1:9" ht="24.75" customHeight="1" thickBot="1" x14ac:dyDescent="0.25">
      <c r="A775" s="90"/>
      <c r="B775" s="90"/>
      <c r="C775" s="90"/>
      <c r="D775" s="90"/>
      <c r="E775" s="90"/>
      <c r="F775" s="90"/>
      <c r="G775" s="105"/>
      <c r="H775" s="90"/>
      <c r="I775" s="90"/>
    </row>
    <row r="776" spans="1:9" ht="24.75" customHeight="1" thickBot="1" x14ac:dyDescent="0.25">
      <c r="A776" s="90"/>
      <c r="B776" s="90"/>
      <c r="C776" s="90"/>
      <c r="D776" s="90"/>
      <c r="E776" s="90"/>
      <c r="F776" s="90"/>
      <c r="G776" s="105"/>
      <c r="H776" s="90"/>
      <c r="I776" s="90"/>
    </row>
    <row r="777" spans="1:9" ht="24.75" customHeight="1" thickBot="1" x14ac:dyDescent="0.25">
      <c r="A777" s="90"/>
      <c r="B777" s="90"/>
      <c r="C777" s="90"/>
      <c r="D777" s="90"/>
      <c r="E777" s="90"/>
      <c r="F777" s="90"/>
      <c r="G777" s="105"/>
      <c r="H777" s="90"/>
      <c r="I777" s="90"/>
    </row>
    <row r="778" spans="1:9" ht="24.75" customHeight="1" thickBot="1" x14ac:dyDescent="0.25">
      <c r="A778" s="90"/>
      <c r="B778" s="90"/>
      <c r="C778" s="90"/>
      <c r="D778" s="90"/>
      <c r="E778" s="90"/>
      <c r="F778" s="90"/>
      <c r="G778" s="105"/>
      <c r="H778" s="90"/>
      <c r="I778" s="90"/>
    </row>
    <row r="779" spans="1:9" ht="24.75" customHeight="1" thickBot="1" x14ac:dyDescent="0.25">
      <c r="A779" s="90"/>
      <c r="B779" s="90"/>
      <c r="C779" s="90"/>
      <c r="D779" s="90"/>
      <c r="E779" s="90"/>
      <c r="F779" s="90"/>
      <c r="G779" s="105"/>
      <c r="H779" s="90"/>
      <c r="I779" s="90"/>
    </row>
    <row r="780" spans="1:9" ht="24.75" customHeight="1" thickBot="1" x14ac:dyDescent="0.25">
      <c r="A780" s="90"/>
      <c r="B780" s="90"/>
      <c r="C780" s="90"/>
      <c r="D780" s="90"/>
      <c r="E780" s="90"/>
      <c r="F780" s="90"/>
      <c r="G780" s="105"/>
      <c r="H780" s="90"/>
      <c r="I780" s="90"/>
    </row>
    <row r="781" spans="1:9" ht="24.75" customHeight="1" thickBot="1" x14ac:dyDescent="0.25">
      <c r="A781" s="90"/>
      <c r="B781" s="90"/>
      <c r="C781" s="90"/>
      <c r="D781" s="90"/>
      <c r="E781" s="90"/>
      <c r="F781" s="90"/>
      <c r="G781" s="105"/>
      <c r="H781" s="90"/>
      <c r="I781" s="90"/>
    </row>
    <row r="782" spans="1:9" ht="24.75" customHeight="1" thickBot="1" x14ac:dyDescent="0.25">
      <c r="A782" s="90"/>
      <c r="B782" s="90"/>
      <c r="C782" s="90"/>
      <c r="D782" s="90"/>
      <c r="E782" s="90"/>
      <c r="F782" s="90"/>
      <c r="G782" s="105"/>
      <c r="H782" s="90"/>
      <c r="I782" s="90"/>
    </row>
    <row r="783" spans="1:9" ht="24.75" customHeight="1" thickBot="1" x14ac:dyDescent="0.25">
      <c r="A783" s="90"/>
      <c r="B783" s="90"/>
      <c r="C783" s="90"/>
      <c r="D783" s="90"/>
      <c r="E783" s="90"/>
      <c r="F783" s="90"/>
      <c r="G783" s="105"/>
      <c r="H783" s="90"/>
      <c r="I783" s="90"/>
    </row>
    <row r="784" spans="1:9" ht="24.75" customHeight="1" thickBot="1" x14ac:dyDescent="0.25">
      <c r="A784" s="90"/>
      <c r="B784" s="90"/>
      <c r="C784" s="90"/>
      <c r="D784" s="90"/>
      <c r="E784" s="90"/>
      <c r="F784" s="90"/>
      <c r="G784" s="105"/>
      <c r="H784" s="90"/>
      <c r="I784" s="90"/>
    </row>
    <row r="785" spans="1:9" ht="24.75" customHeight="1" thickBot="1" x14ac:dyDescent="0.25">
      <c r="A785" s="90"/>
      <c r="B785" s="90"/>
      <c r="C785" s="90"/>
      <c r="D785" s="90"/>
      <c r="E785" s="90"/>
      <c r="F785" s="90"/>
      <c r="G785" s="105"/>
      <c r="H785" s="90"/>
      <c r="I785" s="90"/>
    </row>
    <row r="786" spans="1:9" ht="24.75" customHeight="1" thickBot="1" x14ac:dyDescent="0.25">
      <c r="A786" s="90"/>
      <c r="B786" s="90"/>
      <c r="C786" s="90"/>
      <c r="D786" s="90"/>
      <c r="E786" s="90"/>
      <c r="F786" s="90"/>
      <c r="G786" s="105"/>
      <c r="H786" s="90"/>
      <c r="I786" s="90"/>
    </row>
    <row r="787" spans="1:9" ht="24.75" customHeight="1" thickBot="1" x14ac:dyDescent="0.25">
      <c r="A787" s="90"/>
      <c r="B787" s="90"/>
      <c r="C787" s="90"/>
      <c r="D787" s="90"/>
      <c r="E787" s="90"/>
      <c r="F787" s="90"/>
      <c r="G787" s="105"/>
      <c r="H787" s="90"/>
      <c r="I787" s="90"/>
    </row>
    <row r="788" spans="1:9" ht="24.75" customHeight="1" thickBot="1" x14ac:dyDescent="0.25">
      <c r="A788" s="90"/>
      <c r="B788" s="90"/>
      <c r="C788" s="90"/>
      <c r="D788" s="90"/>
      <c r="E788" s="90"/>
      <c r="F788" s="90"/>
      <c r="G788" s="105"/>
      <c r="H788" s="90"/>
      <c r="I788" s="90"/>
    </row>
    <row r="789" spans="1:9" ht="24.75" customHeight="1" thickBot="1" x14ac:dyDescent="0.25">
      <c r="A789" s="90"/>
      <c r="B789" s="90"/>
      <c r="C789" s="90"/>
      <c r="D789" s="90"/>
      <c r="E789" s="90"/>
      <c r="F789" s="90"/>
      <c r="G789" s="105"/>
      <c r="H789" s="90"/>
      <c r="I789" s="90"/>
    </row>
    <row r="790" spans="1:9" ht="24.75" customHeight="1" thickBot="1" x14ac:dyDescent="0.25">
      <c r="A790" s="90"/>
      <c r="B790" s="90"/>
      <c r="C790" s="90"/>
      <c r="D790" s="90"/>
      <c r="E790" s="90"/>
      <c r="F790" s="90"/>
      <c r="G790" s="105"/>
      <c r="H790" s="90"/>
      <c r="I790" s="90"/>
    </row>
    <row r="791" spans="1:9" ht="24.75" customHeight="1" thickBot="1" x14ac:dyDescent="0.25">
      <c r="A791" s="90"/>
      <c r="B791" s="90"/>
      <c r="C791" s="90"/>
      <c r="D791" s="90"/>
      <c r="E791" s="90"/>
      <c r="F791" s="90"/>
      <c r="G791" s="105"/>
      <c r="H791" s="90"/>
      <c r="I791" s="90"/>
    </row>
    <row r="792" spans="1:9" ht="24.75" customHeight="1" thickBot="1" x14ac:dyDescent="0.25">
      <c r="A792" s="90"/>
      <c r="B792" s="90"/>
      <c r="C792" s="90"/>
      <c r="D792" s="90"/>
      <c r="E792" s="90"/>
      <c r="F792" s="90"/>
      <c r="G792" s="105"/>
      <c r="H792" s="90"/>
      <c r="I792" s="90"/>
    </row>
    <row r="793" spans="1:9" ht="24.75" customHeight="1" thickBot="1" x14ac:dyDescent="0.25">
      <c r="A793" s="90"/>
      <c r="B793" s="90"/>
      <c r="C793" s="90"/>
      <c r="D793" s="90"/>
      <c r="E793" s="90"/>
      <c r="F793" s="90"/>
      <c r="G793" s="105"/>
      <c r="H793" s="90"/>
      <c r="I793" s="90"/>
    </row>
    <row r="794" spans="1:9" ht="24.75" customHeight="1" thickBot="1" x14ac:dyDescent="0.25">
      <c r="A794" s="90"/>
      <c r="B794" s="90"/>
      <c r="C794" s="90"/>
      <c r="D794" s="90"/>
      <c r="E794" s="90"/>
      <c r="F794" s="90"/>
      <c r="G794" s="105"/>
      <c r="H794" s="90"/>
      <c r="I794" s="90"/>
    </row>
    <row r="795" spans="1:9" ht="24.75" customHeight="1" thickBot="1" x14ac:dyDescent="0.25">
      <c r="A795" s="90"/>
      <c r="B795" s="90"/>
      <c r="C795" s="90"/>
      <c r="D795" s="90"/>
      <c r="E795" s="90"/>
      <c r="F795" s="90"/>
      <c r="G795" s="105"/>
      <c r="H795" s="90"/>
      <c r="I795" s="90"/>
    </row>
    <row r="796" spans="1:9" ht="24.75" customHeight="1" thickBot="1" x14ac:dyDescent="0.25">
      <c r="A796" s="90"/>
      <c r="B796" s="90"/>
      <c r="C796" s="90"/>
      <c r="D796" s="90"/>
      <c r="E796" s="90"/>
      <c r="F796" s="90"/>
      <c r="G796" s="105"/>
      <c r="H796" s="90"/>
      <c r="I796" s="90"/>
    </row>
    <row r="797" spans="1:9" ht="24.75" customHeight="1" thickBot="1" x14ac:dyDescent="0.25">
      <c r="A797" s="90"/>
      <c r="B797" s="90"/>
      <c r="C797" s="90"/>
      <c r="D797" s="90"/>
      <c r="E797" s="90"/>
      <c r="F797" s="90"/>
      <c r="G797" s="105"/>
      <c r="H797" s="90"/>
      <c r="I797" s="90"/>
    </row>
    <row r="798" spans="1:9" ht="24.75" customHeight="1" thickBot="1" x14ac:dyDescent="0.25">
      <c r="A798" s="90"/>
      <c r="B798" s="90"/>
      <c r="C798" s="90"/>
      <c r="D798" s="90"/>
      <c r="E798" s="90"/>
      <c r="F798" s="90"/>
      <c r="G798" s="105"/>
      <c r="H798" s="90"/>
      <c r="I798" s="90"/>
    </row>
    <row r="799" spans="1:9" ht="24.75" customHeight="1" thickBot="1" x14ac:dyDescent="0.25">
      <c r="A799" s="90"/>
      <c r="B799" s="90"/>
      <c r="C799" s="90"/>
      <c r="D799" s="90"/>
      <c r="E799" s="90"/>
      <c r="F799" s="90"/>
      <c r="G799" s="105"/>
      <c r="H799" s="90"/>
      <c r="I799" s="90"/>
    </row>
    <row r="800" spans="1:9" ht="24.75" customHeight="1" thickBot="1" x14ac:dyDescent="0.25">
      <c r="A800" s="90"/>
      <c r="B800" s="90"/>
      <c r="C800" s="90"/>
      <c r="D800" s="90"/>
      <c r="E800" s="90"/>
      <c r="F800" s="90"/>
      <c r="G800" s="105"/>
      <c r="H800" s="90"/>
      <c r="I800" s="90"/>
    </row>
    <row r="801" spans="1:9" ht="24.75" customHeight="1" thickBot="1" x14ac:dyDescent="0.25">
      <c r="A801" s="90"/>
      <c r="B801" s="90"/>
      <c r="C801" s="90"/>
      <c r="D801" s="90"/>
      <c r="E801" s="90"/>
      <c r="F801" s="90"/>
      <c r="G801" s="105"/>
      <c r="H801" s="90"/>
      <c r="I801" s="90"/>
    </row>
    <row r="802" spans="1:9" ht="24.75" customHeight="1" thickBot="1" x14ac:dyDescent="0.25">
      <c r="A802" s="90"/>
      <c r="B802" s="90"/>
      <c r="C802" s="90"/>
      <c r="D802" s="90"/>
      <c r="E802" s="90"/>
      <c r="F802" s="90"/>
      <c r="G802" s="105"/>
      <c r="H802" s="90"/>
      <c r="I802" s="90"/>
    </row>
    <row r="803" spans="1:9" ht="24.75" customHeight="1" thickBot="1" x14ac:dyDescent="0.25">
      <c r="A803" s="90"/>
      <c r="B803" s="90"/>
      <c r="C803" s="90"/>
      <c r="D803" s="90"/>
      <c r="E803" s="90"/>
      <c r="F803" s="90"/>
      <c r="G803" s="105"/>
      <c r="H803" s="90"/>
      <c r="I803" s="90"/>
    </row>
    <row r="804" spans="1:9" ht="24.75" customHeight="1" thickBot="1" x14ac:dyDescent="0.25">
      <c r="A804" s="90"/>
      <c r="B804" s="90"/>
      <c r="C804" s="90"/>
      <c r="D804" s="90"/>
      <c r="E804" s="90"/>
      <c r="F804" s="90"/>
      <c r="G804" s="105"/>
      <c r="H804" s="90"/>
      <c r="I804" s="90"/>
    </row>
    <row r="805" spans="1:9" ht="24.75" customHeight="1" thickBot="1" x14ac:dyDescent="0.25">
      <c r="A805" s="90"/>
      <c r="B805" s="90"/>
      <c r="C805" s="90"/>
      <c r="D805" s="90"/>
      <c r="E805" s="90"/>
      <c r="F805" s="90"/>
      <c r="G805" s="105"/>
      <c r="H805" s="90"/>
      <c r="I805" s="90"/>
    </row>
    <row r="806" spans="1:9" ht="24.75" customHeight="1" thickBot="1" x14ac:dyDescent="0.25">
      <c r="A806" s="90"/>
      <c r="B806" s="90"/>
      <c r="C806" s="90"/>
      <c r="D806" s="90"/>
      <c r="E806" s="90"/>
      <c r="F806" s="90"/>
      <c r="G806" s="105"/>
      <c r="H806" s="90"/>
      <c r="I806" s="90"/>
    </row>
    <row r="807" spans="1:9" ht="24.75" customHeight="1" thickBot="1" x14ac:dyDescent="0.25">
      <c r="A807" s="90"/>
      <c r="B807" s="90"/>
      <c r="C807" s="90"/>
      <c r="D807" s="90"/>
      <c r="E807" s="90"/>
      <c r="F807" s="90"/>
      <c r="G807" s="105"/>
      <c r="H807" s="90"/>
      <c r="I807" s="90"/>
    </row>
    <row r="808" spans="1:9" ht="24.75" customHeight="1" thickBot="1" x14ac:dyDescent="0.25">
      <c r="A808" s="90"/>
      <c r="B808" s="90"/>
      <c r="C808" s="90"/>
      <c r="D808" s="90"/>
      <c r="E808" s="90"/>
      <c r="F808" s="90"/>
      <c r="G808" s="105"/>
      <c r="H808" s="90"/>
      <c r="I808" s="90"/>
    </row>
    <row r="809" spans="1:9" ht="24.75" customHeight="1" thickBot="1" x14ac:dyDescent="0.25">
      <c r="A809" s="90"/>
      <c r="B809" s="90"/>
      <c r="C809" s="90"/>
      <c r="D809" s="90"/>
      <c r="E809" s="90"/>
      <c r="F809" s="90"/>
      <c r="G809" s="105"/>
      <c r="H809" s="90"/>
      <c r="I809" s="90"/>
    </row>
    <row r="810" spans="1:9" ht="24.75" customHeight="1" thickBot="1" x14ac:dyDescent="0.25">
      <c r="A810" s="90"/>
      <c r="B810" s="90"/>
      <c r="C810" s="90"/>
      <c r="D810" s="90"/>
      <c r="E810" s="90"/>
      <c r="F810" s="90"/>
      <c r="G810" s="105"/>
      <c r="H810" s="90"/>
      <c r="I810" s="90"/>
    </row>
    <row r="811" spans="1:9" ht="24.75" customHeight="1" thickBot="1" x14ac:dyDescent="0.25">
      <c r="A811" s="90"/>
      <c r="B811" s="90"/>
      <c r="C811" s="90"/>
      <c r="D811" s="90"/>
      <c r="E811" s="90"/>
      <c r="F811" s="90"/>
      <c r="G811" s="105"/>
      <c r="H811" s="90"/>
      <c r="I811" s="90"/>
    </row>
    <row r="812" spans="1:9" ht="24.75" customHeight="1" thickBot="1" x14ac:dyDescent="0.25">
      <c r="A812" s="90"/>
      <c r="B812" s="90"/>
      <c r="C812" s="90"/>
      <c r="D812" s="90"/>
      <c r="E812" s="90"/>
      <c r="F812" s="90"/>
      <c r="G812" s="105"/>
      <c r="H812" s="90"/>
      <c r="I812" s="90"/>
    </row>
    <row r="813" spans="1:9" ht="24.75" customHeight="1" thickBot="1" x14ac:dyDescent="0.25">
      <c r="A813" s="90"/>
      <c r="B813" s="90"/>
      <c r="C813" s="90"/>
      <c r="D813" s="90"/>
      <c r="E813" s="90"/>
      <c r="F813" s="90"/>
      <c r="G813" s="105"/>
      <c r="H813" s="90"/>
      <c r="I813" s="90"/>
    </row>
    <row r="814" spans="1:9" ht="24.75" customHeight="1" thickBot="1" x14ac:dyDescent="0.25">
      <c r="A814" s="90"/>
      <c r="B814" s="90"/>
      <c r="C814" s="90"/>
      <c r="D814" s="90"/>
      <c r="E814" s="90"/>
      <c r="F814" s="90"/>
      <c r="G814" s="105"/>
      <c r="H814" s="90"/>
      <c r="I814" s="90"/>
    </row>
    <row r="815" spans="1:9" ht="24.75" customHeight="1" thickBot="1" x14ac:dyDescent="0.25">
      <c r="A815" s="90"/>
      <c r="B815" s="90"/>
      <c r="C815" s="90"/>
      <c r="D815" s="90"/>
      <c r="E815" s="90"/>
      <c r="F815" s="90"/>
      <c r="G815" s="105"/>
      <c r="H815" s="90"/>
      <c r="I815" s="90"/>
    </row>
    <row r="816" spans="1:9" ht="24.75" customHeight="1" thickBot="1" x14ac:dyDescent="0.25">
      <c r="A816" s="90"/>
      <c r="B816" s="90"/>
      <c r="C816" s="90"/>
      <c r="D816" s="90"/>
      <c r="E816" s="90"/>
      <c r="F816" s="90"/>
      <c r="G816" s="105"/>
      <c r="H816" s="90"/>
      <c r="I816" s="90"/>
    </row>
    <row r="817" spans="1:9" ht="24.75" customHeight="1" thickBot="1" x14ac:dyDescent="0.25">
      <c r="A817" s="90"/>
      <c r="B817" s="90"/>
      <c r="C817" s="90"/>
      <c r="D817" s="90"/>
      <c r="E817" s="90"/>
      <c r="F817" s="90"/>
      <c r="G817" s="105"/>
      <c r="H817" s="90"/>
      <c r="I817" s="90"/>
    </row>
    <row r="818" spans="1:9" ht="24.75" customHeight="1" thickBot="1" x14ac:dyDescent="0.25">
      <c r="A818" s="90"/>
      <c r="B818" s="90"/>
      <c r="C818" s="90"/>
      <c r="D818" s="90"/>
      <c r="E818" s="90"/>
      <c r="F818" s="90"/>
      <c r="G818" s="105"/>
      <c r="H818" s="90"/>
      <c r="I818" s="90"/>
    </row>
    <row r="819" spans="1:9" ht="24.75" customHeight="1" thickBot="1" x14ac:dyDescent="0.25">
      <c r="A819" s="90"/>
      <c r="B819" s="90"/>
      <c r="C819" s="90"/>
      <c r="D819" s="90"/>
      <c r="E819" s="90"/>
      <c r="F819" s="90"/>
      <c r="G819" s="105"/>
      <c r="H819" s="90"/>
      <c r="I819" s="90"/>
    </row>
    <row r="820" spans="1:9" ht="24.75" customHeight="1" thickBot="1" x14ac:dyDescent="0.25">
      <c r="A820" s="90"/>
      <c r="B820" s="90"/>
      <c r="C820" s="90"/>
      <c r="D820" s="90"/>
      <c r="E820" s="90"/>
      <c r="F820" s="90"/>
      <c r="G820" s="105"/>
      <c r="H820" s="90"/>
      <c r="I820" s="90"/>
    </row>
    <row r="821" spans="1:9" ht="24.75" customHeight="1" thickBot="1" x14ac:dyDescent="0.25">
      <c r="A821" s="90"/>
      <c r="B821" s="90"/>
      <c r="C821" s="90"/>
      <c r="D821" s="90"/>
      <c r="E821" s="90"/>
      <c r="F821" s="90"/>
      <c r="G821" s="105"/>
      <c r="H821" s="90"/>
      <c r="I821" s="90"/>
    </row>
    <row r="822" spans="1:9" ht="24.75" customHeight="1" thickBot="1" x14ac:dyDescent="0.25">
      <c r="A822" s="90"/>
      <c r="B822" s="90"/>
      <c r="C822" s="90"/>
      <c r="D822" s="90"/>
      <c r="E822" s="90"/>
      <c r="F822" s="90"/>
      <c r="G822" s="105"/>
      <c r="H822" s="90"/>
      <c r="I822" s="90"/>
    </row>
    <row r="823" spans="1:9" ht="24.75" customHeight="1" thickBot="1" x14ac:dyDescent="0.25">
      <c r="A823" s="90"/>
      <c r="B823" s="90"/>
      <c r="C823" s="90"/>
      <c r="D823" s="90"/>
      <c r="E823" s="90"/>
      <c r="F823" s="90"/>
      <c r="G823" s="105"/>
      <c r="H823" s="90"/>
      <c r="I823" s="90"/>
    </row>
    <row r="824" spans="1:9" ht="24.75" customHeight="1" thickBot="1" x14ac:dyDescent="0.25">
      <c r="A824" s="90"/>
      <c r="B824" s="90"/>
      <c r="C824" s="90"/>
      <c r="D824" s="90"/>
      <c r="E824" s="90"/>
      <c r="F824" s="90"/>
      <c r="G824" s="105"/>
      <c r="H824" s="90"/>
      <c r="I824" s="90"/>
    </row>
    <row r="825" spans="1:9" ht="24.75" customHeight="1" thickBot="1" x14ac:dyDescent="0.25">
      <c r="A825" s="90"/>
      <c r="B825" s="90"/>
      <c r="C825" s="90"/>
      <c r="D825" s="90"/>
      <c r="E825" s="90"/>
      <c r="F825" s="90"/>
      <c r="G825" s="105"/>
      <c r="H825" s="90"/>
      <c r="I825" s="90"/>
    </row>
    <row r="826" spans="1:9" ht="24.75" customHeight="1" thickBot="1" x14ac:dyDescent="0.25">
      <c r="A826" s="90"/>
      <c r="B826" s="90"/>
      <c r="C826" s="90"/>
      <c r="D826" s="90"/>
      <c r="E826" s="90"/>
      <c r="F826" s="90"/>
      <c r="G826" s="105"/>
      <c r="H826" s="90"/>
      <c r="I826" s="90"/>
    </row>
    <row r="827" spans="1:9" ht="24.75" customHeight="1" thickBot="1" x14ac:dyDescent="0.25">
      <c r="A827" s="90"/>
      <c r="B827" s="90"/>
      <c r="C827" s="90"/>
      <c r="D827" s="90"/>
      <c r="E827" s="90"/>
      <c r="F827" s="90"/>
      <c r="G827" s="105"/>
      <c r="H827" s="90"/>
      <c r="I827" s="90"/>
    </row>
    <row r="828" spans="1:9" ht="24.75" customHeight="1" thickBot="1" x14ac:dyDescent="0.25">
      <c r="A828" s="90"/>
      <c r="B828" s="90"/>
      <c r="C828" s="90"/>
      <c r="D828" s="90"/>
      <c r="E828" s="90"/>
      <c r="F828" s="90"/>
      <c r="G828" s="105"/>
      <c r="H828" s="90"/>
      <c r="I828" s="90"/>
    </row>
    <row r="829" spans="1:9" ht="24.75" customHeight="1" thickBot="1" x14ac:dyDescent="0.25">
      <c r="A829" s="90"/>
      <c r="B829" s="90"/>
      <c r="C829" s="90"/>
      <c r="D829" s="90"/>
      <c r="E829" s="90"/>
      <c r="F829" s="90"/>
      <c r="G829" s="105"/>
      <c r="H829" s="90"/>
      <c r="I829" s="90"/>
    </row>
    <row r="830" spans="1:9" ht="24.75" customHeight="1" thickBot="1" x14ac:dyDescent="0.25">
      <c r="A830" s="90"/>
      <c r="B830" s="90"/>
      <c r="C830" s="90"/>
      <c r="D830" s="90"/>
      <c r="E830" s="90"/>
      <c r="F830" s="90"/>
      <c r="G830" s="105"/>
      <c r="H830" s="90"/>
      <c r="I830" s="90"/>
    </row>
    <row r="831" spans="1:9" ht="24.75" customHeight="1" thickBot="1" x14ac:dyDescent="0.25">
      <c r="A831" s="90"/>
      <c r="B831" s="90"/>
      <c r="C831" s="90"/>
      <c r="D831" s="90"/>
      <c r="E831" s="90"/>
      <c r="F831" s="90"/>
      <c r="G831" s="105"/>
      <c r="H831" s="90"/>
      <c r="I831" s="90"/>
    </row>
    <row r="832" spans="1:9" ht="24.75" customHeight="1" thickBot="1" x14ac:dyDescent="0.25">
      <c r="A832" s="90"/>
      <c r="B832" s="90"/>
      <c r="C832" s="90"/>
      <c r="D832" s="90"/>
      <c r="E832" s="90"/>
      <c r="F832" s="90"/>
      <c r="G832" s="105"/>
      <c r="H832" s="90"/>
      <c r="I832" s="90"/>
    </row>
    <row r="833" spans="1:9" ht="24.75" customHeight="1" thickBot="1" x14ac:dyDescent="0.25">
      <c r="A833" s="90"/>
      <c r="B833" s="90"/>
      <c r="C833" s="90"/>
      <c r="D833" s="90"/>
      <c r="E833" s="90"/>
      <c r="F833" s="90"/>
      <c r="G833" s="105"/>
      <c r="H833" s="90"/>
      <c r="I833" s="90"/>
    </row>
    <row r="834" spans="1:9" ht="24.75" customHeight="1" thickBot="1" x14ac:dyDescent="0.25">
      <c r="A834" s="90"/>
      <c r="B834" s="90"/>
      <c r="C834" s="90"/>
      <c r="D834" s="90"/>
      <c r="E834" s="90"/>
      <c r="F834" s="90"/>
      <c r="G834" s="105"/>
      <c r="H834" s="90"/>
      <c r="I834" s="90"/>
    </row>
    <row r="835" spans="1:9" ht="24.75" customHeight="1" thickBot="1" x14ac:dyDescent="0.25">
      <c r="A835" s="90"/>
      <c r="B835" s="90"/>
      <c r="C835" s="90"/>
      <c r="D835" s="90"/>
      <c r="E835" s="90"/>
      <c r="F835" s="90"/>
      <c r="G835" s="105"/>
      <c r="H835" s="90"/>
      <c r="I835" s="90"/>
    </row>
    <row r="836" spans="1:9" ht="24.75" customHeight="1" thickBot="1" x14ac:dyDescent="0.25">
      <c r="A836" s="90"/>
      <c r="B836" s="90"/>
      <c r="C836" s="90"/>
      <c r="D836" s="90"/>
      <c r="E836" s="90"/>
      <c r="F836" s="90"/>
      <c r="G836" s="105"/>
      <c r="H836" s="90"/>
      <c r="I836" s="90"/>
    </row>
    <row r="837" spans="1:9" ht="24.75" customHeight="1" thickBot="1" x14ac:dyDescent="0.25">
      <c r="A837" s="90"/>
      <c r="B837" s="90"/>
      <c r="C837" s="90"/>
      <c r="D837" s="90"/>
      <c r="E837" s="90"/>
      <c r="F837" s="90"/>
      <c r="G837" s="105"/>
      <c r="H837" s="90"/>
      <c r="I837" s="90"/>
    </row>
    <row r="838" spans="1:9" ht="24.75" customHeight="1" thickBot="1" x14ac:dyDescent="0.25">
      <c r="A838" s="90"/>
      <c r="B838" s="90"/>
      <c r="C838" s="90"/>
      <c r="D838" s="90"/>
      <c r="E838" s="90"/>
      <c r="F838" s="90"/>
      <c r="G838" s="105"/>
      <c r="H838" s="90"/>
      <c r="I838" s="90"/>
    </row>
    <row r="839" spans="1:9" ht="24.75" customHeight="1" thickBot="1" x14ac:dyDescent="0.25">
      <c r="A839" s="90"/>
      <c r="B839" s="90"/>
      <c r="C839" s="90"/>
      <c r="D839" s="90"/>
      <c r="E839" s="90"/>
      <c r="F839" s="90"/>
      <c r="G839" s="105"/>
      <c r="H839" s="90"/>
      <c r="I839" s="90"/>
    </row>
    <row r="840" spans="1:9" ht="24.75" customHeight="1" thickBot="1" x14ac:dyDescent="0.25">
      <c r="A840" s="90"/>
      <c r="B840" s="90"/>
      <c r="C840" s="90"/>
      <c r="D840" s="90"/>
      <c r="E840" s="90"/>
      <c r="F840" s="90"/>
      <c r="G840" s="105"/>
      <c r="H840" s="90"/>
      <c r="I840" s="90"/>
    </row>
    <row r="841" spans="1:9" ht="24.75" customHeight="1" thickBot="1" x14ac:dyDescent="0.25">
      <c r="A841" s="90"/>
      <c r="B841" s="90"/>
      <c r="C841" s="90"/>
      <c r="D841" s="90"/>
      <c r="E841" s="90"/>
      <c r="F841" s="90"/>
      <c r="G841" s="105"/>
      <c r="H841" s="90"/>
      <c r="I841" s="90"/>
    </row>
    <row r="842" spans="1:9" ht="24.75" customHeight="1" thickBot="1" x14ac:dyDescent="0.25">
      <c r="A842" s="90"/>
      <c r="B842" s="90"/>
      <c r="C842" s="90"/>
      <c r="D842" s="90"/>
      <c r="E842" s="90"/>
      <c r="F842" s="90"/>
      <c r="G842" s="105"/>
      <c r="H842" s="90"/>
      <c r="I842" s="90"/>
    </row>
    <row r="843" spans="1:9" ht="24.75" customHeight="1" thickBot="1" x14ac:dyDescent="0.25">
      <c r="A843" s="90"/>
      <c r="B843" s="90"/>
      <c r="C843" s="90"/>
      <c r="D843" s="90"/>
      <c r="E843" s="90"/>
      <c r="F843" s="90"/>
      <c r="G843" s="105"/>
      <c r="H843" s="90"/>
      <c r="I843" s="90"/>
    </row>
    <row r="844" spans="1:9" ht="24.75" customHeight="1" thickBot="1" x14ac:dyDescent="0.25">
      <c r="A844" s="90"/>
      <c r="B844" s="90"/>
      <c r="C844" s="90"/>
      <c r="D844" s="90"/>
      <c r="E844" s="90"/>
      <c r="F844" s="90"/>
      <c r="G844" s="105"/>
      <c r="H844" s="90"/>
      <c r="I844" s="90"/>
    </row>
    <row r="845" spans="1:9" ht="24.75" customHeight="1" thickBot="1" x14ac:dyDescent="0.25">
      <c r="A845" s="90"/>
      <c r="B845" s="90"/>
      <c r="C845" s="90"/>
      <c r="D845" s="90"/>
      <c r="E845" s="90"/>
      <c r="F845" s="90"/>
      <c r="G845" s="105"/>
      <c r="H845" s="90"/>
      <c r="I845" s="90"/>
    </row>
    <row r="846" spans="1:9" ht="24.75" customHeight="1" thickBot="1" x14ac:dyDescent="0.25">
      <c r="A846" s="90"/>
      <c r="B846" s="90"/>
      <c r="C846" s="90"/>
      <c r="D846" s="90"/>
      <c r="E846" s="90"/>
      <c r="F846" s="90"/>
      <c r="G846" s="105"/>
      <c r="H846" s="90"/>
      <c r="I846" s="90"/>
    </row>
    <row r="847" spans="1:9" ht="24.75" customHeight="1" thickBot="1" x14ac:dyDescent="0.25">
      <c r="A847" s="90"/>
      <c r="B847" s="90"/>
      <c r="C847" s="90"/>
      <c r="D847" s="90"/>
      <c r="E847" s="90"/>
      <c r="F847" s="90"/>
      <c r="G847" s="105"/>
      <c r="H847" s="90"/>
      <c r="I847" s="90"/>
    </row>
    <row r="848" spans="1:9" ht="24.75" customHeight="1" thickBot="1" x14ac:dyDescent="0.25">
      <c r="A848" s="90"/>
      <c r="B848" s="90"/>
      <c r="C848" s="90"/>
      <c r="D848" s="90"/>
      <c r="E848" s="90"/>
      <c r="F848" s="90"/>
      <c r="G848" s="105"/>
      <c r="H848" s="90"/>
      <c r="I848" s="90"/>
    </row>
    <row r="849" spans="1:9" ht="24.75" customHeight="1" thickBot="1" x14ac:dyDescent="0.25">
      <c r="A849" s="90"/>
      <c r="B849" s="90"/>
      <c r="C849" s="90"/>
      <c r="D849" s="90"/>
      <c r="E849" s="90"/>
      <c r="F849" s="90"/>
      <c r="G849" s="105"/>
      <c r="H849" s="90"/>
      <c r="I849" s="90"/>
    </row>
    <row r="850" spans="1:9" ht="24.75" customHeight="1" thickBot="1" x14ac:dyDescent="0.25">
      <c r="A850" s="90"/>
      <c r="B850" s="90"/>
      <c r="C850" s="90"/>
      <c r="D850" s="90"/>
      <c r="E850" s="90"/>
      <c r="F850" s="90"/>
      <c r="G850" s="105"/>
      <c r="H850" s="90"/>
      <c r="I850" s="90"/>
    </row>
    <row r="851" spans="1:9" ht="24.75" customHeight="1" thickBot="1" x14ac:dyDescent="0.25">
      <c r="A851" s="90"/>
      <c r="B851" s="90"/>
      <c r="C851" s="90"/>
      <c r="D851" s="90"/>
      <c r="E851" s="90"/>
      <c r="F851" s="90"/>
      <c r="G851" s="105"/>
      <c r="H851" s="90"/>
      <c r="I851" s="90"/>
    </row>
    <row r="852" spans="1:9" ht="24.75" customHeight="1" thickBot="1" x14ac:dyDescent="0.25">
      <c r="A852" s="90"/>
      <c r="B852" s="90"/>
      <c r="C852" s="90"/>
      <c r="D852" s="90"/>
      <c r="E852" s="90"/>
      <c r="F852" s="90"/>
      <c r="G852" s="105"/>
      <c r="H852" s="90"/>
      <c r="I852" s="90"/>
    </row>
    <row r="853" spans="1:9" ht="24.75" customHeight="1" thickBot="1" x14ac:dyDescent="0.25">
      <c r="A853" s="90"/>
      <c r="B853" s="90"/>
      <c r="C853" s="90"/>
      <c r="D853" s="90"/>
      <c r="E853" s="90"/>
      <c r="F853" s="90"/>
      <c r="G853" s="105"/>
      <c r="H853" s="90"/>
      <c r="I853" s="90"/>
    </row>
    <row r="854" spans="1:9" ht="24.75" customHeight="1" thickBot="1" x14ac:dyDescent="0.25">
      <c r="A854" s="90"/>
      <c r="B854" s="90"/>
      <c r="C854" s="90"/>
      <c r="D854" s="90"/>
      <c r="E854" s="90"/>
      <c r="F854" s="90"/>
      <c r="G854" s="105"/>
      <c r="H854" s="90"/>
      <c r="I854" s="90"/>
    </row>
    <row r="855" spans="1:9" ht="24.75" customHeight="1" thickBot="1" x14ac:dyDescent="0.25">
      <c r="A855" s="90"/>
      <c r="B855" s="90"/>
      <c r="C855" s="90"/>
      <c r="D855" s="90"/>
      <c r="E855" s="90"/>
      <c r="F855" s="90"/>
      <c r="G855" s="105"/>
      <c r="H855" s="90"/>
      <c r="I855" s="90"/>
    </row>
    <row r="856" spans="1:9" ht="24.75" customHeight="1" thickBot="1" x14ac:dyDescent="0.25">
      <c r="A856" s="90"/>
      <c r="B856" s="90"/>
      <c r="C856" s="90"/>
      <c r="D856" s="90"/>
      <c r="E856" s="90"/>
      <c r="F856" s="90"/>
      <c r="G856" s="105"/>
      <c r="H856" s="90"/>
      <c r="I856" s="90"/>
    </row>
    <row r="857" spans="1:9" ht="24.75" customHeight="1" thickBot="1" x14ac:dyDescent="0.25">
      <c r="A857" s="90"/>
      <c r="B857" s="90"/>
      <c r="C857" s="90"/>
      <c r="D857" s="90"/>
      <c r="E857" s="90"/>
      <c r="F857" s="90"/>
      <c r="G857" s="105"/>
      <c r="H857" s="90"/>
      <c r="I857" s="90"/>
    </row>
    <row r="858" spans="1:9" ht="24.75" customHeight="1" thickBot="1" x14ac:dyDescent="0.25">
      <c r="A858" s="90"/>
      <c r="B858" s="90"/>
      <c r="C858" s="90"/>
      <c r="D858" s="90"/>
      <c r="E858" s="90"/>
      <c r="F858" s="90"/>
      <c r="G858" s="105"/>
      <c r="H858" s="90"/>
      <c r="I858" s="90"/>
    </row>
    <row r="859" spans="1:9" ht="24.75" customHeight="1" thickBot="1" x14ac:dyDescent="0.25">
      <c r="A859" s="90"/>
      <c r="B859" s="90"/>
      <c r="C859" s="90"/>
      <c r="D859" s="90"/>
      <c r="E859" s="90"/>
      <c r="F859" s="90"/>
      <c r="G859" s="105"/>
      <c r="H859" s="90"/>
      <c r="I859" s="90"/>
    </row>
    <row r="860" spans="1:9" ht="24.75" customHeight="1" thickBot="1" x14ac:dyDescent="0.25">
      <c r="A860" s="90"/>
      <c r="B860" s="90"/>
      <c r="C860" s="90"/>
      <c r="D860" s="90"/>
      <c r="E860" s="90"/>
      <c r="F860" s="90"/>
      <c r="G860" s="105"/>
      <c r="H860" s="90"/>
      <c r="I860" s="90"/>
    </row>
    <row r="861" spans="1:9" ht="24.75" customHeight="1" thickBot="1" x14ac:dyDescent="0.25">
      <c r="A861" s="90"/>
      <c r="B861" s="90"/>
      <c r="C861" s="90"/>
      <c r="D861" s="90"/>
      <c r="E861" s="90"/>
      <c r="F861" s="90"/>
      <c r="G861" s="105"/>
      <c r="H861" s="90"/>
      <c r="I861" s="90"/>
    </row>
    <row r="862" spans="1:9" ht="24.75" customHeight="1" thickBot="1" x14ac:dyDescent="0.25">
      <c r="A862" s="90"/>
      <c r="B862" s="90"/>
      <c r="C862" s="90"/>
      <c r="D862" s="90"/>
      <c r="E862" s="90"/>
      <c r="F862" s="90"/>
      <c r="G862" s="105"/>
      <c r="H862" s="90"/>
      <c r="I862" s="90"/>
    </row>
    <row r="863" spans="1:9" ht="24.75" customHeight="1" thickBot="1" x14ac:dyDescent="0.25">
      <c r="A863" s="90"/>
      <c r="B863" s="90"/>
      <c r="C863" s="90"/>
      <c r="D863" s="90"/>
      <c r="E863" s="90"/>
      <c r="F863" s="90"/>
      <c r="G863" s="105"/>
      <c r="H863" s="90"/>
      <c r="I863" s="90"/>
    </row>
    <row r="864" spans="1:9" ht="24.75" customHeight="1" thickBot="1" x14ac:dyDescent="0.25">
      <c r="A864" s="90"/>
      <c r="B864" s="90"/>
      <c r="C864" s="90"/>
      <c r="D864" s="90"/>
      <c r="E864" s="90"/>
      <c r="F864" s="90"/>
      <c r="G864" s="105"/>
      <c r="H864" s="90"/>
      <c r="I864" s="90"/>
    </row>
    <row r="865" spans="1:9" ht="24.75" customHeight="1" thickBot="1" x14ac:dyDescent="0.25">
      <c r="A865" s="90"/>
      <c r="B865" s="90"/>
      <c r="C865" s="90"/>
      <c r="D865" s="90"/>
      <c r="E865" s="90"/>
      <c r="F865" s="90"/>
      <c r="G865" s="105"/>
      <c r="H865" s="90"/>
      <c r="I865" s="90"/>
    </row>
    <row r="866" spans="1:9" ht="24.75" customHeight="1" thickBot="1" x14ac:dyDescent="0.25">
      <c r="A866" s="90"/>
      <c r="B866" s="90"/>
      <c r="C866" s="90"/>
      <c r="D866" s="90"/>
      <c r="E866" s="90"/>
      <c r="F866" s="90"/>
      <c r="G866" s="105"/>
      <c r="H866" s="90"/>
      <c r="I866" s="90"/>
    </row>
    <row r="867" spans="1:9" ht="24.75" customHeight="1" thickBot="1" x14ac:dyDescent="0.25">
      <c r="A867" s="90"/>
      <c r="B867" s="90"/>
      <c r="C867" s="90"/>
      <c r="D867" s="90"/>
      <c r="E867" s="90"/>
      <c r="F867" s="90"/>
      <c r="G867" s="105"/>
      <c r="H867" s="90"/>
      <c r="I867" s="90"/>
    </row>
    <row r="868" spans="1:9" ht="24.75" customHeight="1" thickBot="1" x14ac:dyDescent="0.25">
      <c r="A868" s="90"/>
      <c r="B868" s="90"/>
      <c r="C868" s="90"/>
      <c r="D868" s="90"/>
      <c r="E868" s="90"/>
      <c r="F868" s="90"/>
      <c r="G868" s="105"/>
      <c r="H868" s="90"/>
      <c r="I868" s="90"/>
    </row>
    <row r="869" spans="1:9" ht="24.75" customHeight="1" thickBot="1" x14ac:dyDescent="0.25">
      <c r="A869" s="90"/>
      <c r="B869" s="90"/>
      <c r="C869" s="90"/>
      <c r="D869" s="90"/>
      <c r="E869" s="90"/>
      <c r="F869" s="90"/>
      <c r="G869" s="105"/>
      <c r="H869" s="90"/>
      <c r="I869" s="90"/>
    </row>
    <row r="870" spans="1:9" ht="24.75" customHeight="1" thickBot="1" x14ac:dyDescent="0.25">
      <c r="A870" s="90"/>
      <c r="B870" s="90"/>
      <c r="C870" s="90"/>
      <c r="D870" s="90"/>
      <c r="E870" s="90"/>
      <c r="F870" s="90"/>
      <c r="G870" s="105"/>
      <c r="H870" s="90"/>
      <c r="I870" s="90"/>
    </row>
    <row r="871" spans="1:9" ht="24.75" customHeight="1" thickBot="1" x14ac:dyDescent="0.25">
      <c r="A871" s="90"/>
      <c r="B871" s="90"/>
      <c r="C871" s="90"/>
      <c r="D871" s="90"/>
      <c r="E871" s="90"/>
      <c r="F871" s="90"/>
      <c r="G871" s="105"/>
      <c r="H871" s="90"/>
      <c r="I871" s="90"/>
    </row>
    <row r="872" spans="1:9" ht="24.75" customHeight="1" thickBot="1" x14ac:dyDescent="0.25">
      <c r="A872" s="90"/>
      <c r="B872" s="90"/>
      <c r="C872" s="90"/>
      <c r="D872" s="90"/>
      <c r="E872" s="90"/>
      <c r="F872" s="90"/>
      <c r="G872" s="105"/>
      <c r="H872" s="90"/>
      <c r="I872" s="90"/>
    </row>
    <row r="873" spans="1:9" ht="24.75" customHeight="1" thickBot="1" x14ac:dyDescent="0.25">
      <c r="A873" s="90"/>
      <c r="B873" s="90"/>
      <c r="C873" s="90"/>
      <c r="D873" s="90"/>
      <c r="E873" s="90"/>
      <c r="F873" s="90"/>
      <c r="G873" s="105"/>
      <c r="H873" s="90"/>
      <c r="I873" s="90"/>
    </row>
    <row r="874" spans="1:9" ht="24.75" customHeight="1" thickBot="1" x14ac:dyDescent="0.25">
      <c r="A874" s="90"/>
      <c r="B874" s="90"/>
      <c r="C874" s="90"/>
      <c r="D874" s="90"/>
      <c r="E874" s="90"/>
      <c r="F874" s="90"/>
      <c r="G874" s="105"/>
      <c r="H874" s="90"/>
      <c r="I874" s="90"/>
    </row>
    <row r="875" spans="1:9" ht="24.75" customHeight="1" thickBot="1" x14ac:dyDescent="0.25">
      <c r="A875" s="90"/>
      <c r="B875" s="90"/>
      <c r="C875" s="90"/>
      <c r="D875" s="90"/>
      <c r="E875" s="90"/>
      <c r="F875" s="90"/>
      <c r="G875" s="105"/>
      <c r="H875" s="90"/>
      <c r="I875" s="90"/>
    </row>
    <row r="876" spans="1:9" ht="24.75" customHeight="1" thickBot="1" x14ac:dyDescent="0.25">
      <c r="A876" s="90"/>
      <c r="B876" s="90"/>
      <c r="C876" s="90"/>
      <c r="D876" s="90"/>
      <c r="E876" s="90"/>
      <c r="F876" s="90"/>
      <c r="G876" s="105"/>
      <c r="H876" s="90"/>
      <c r="I876" s="90"/>
    </row>
    <row r="877" spans="1:9" ht="24.75" customHeight="1" thickBot="1" x14ac:dyDescent="0.25">
      <c r="A877" s="90"/>
      <c r="B877" s="90"/>
      <c r="C877" s="90"/>
      <c r="D877" s="90"/>
      <c r="E877" s="90"/>
      <c r="F877" s="90"/>
      <c r="G877" s="105"/>
      <c r="H877" s="90"/>
      <c r="I877" s="90"/>
    </row>
    <row r="878" spans="1:9" ht="24.75" customHeight="1" thickBot="1" x14ac:dyDescent="0.25">
      <c r="A878" s="90"/>
      <c r="B878" s="90"/>
      <c r="C878" s="90"/>
      <c r="D878" s="90"/>
      <c r="E878" s="90"/>
      <c r="F878" s="90"/>
      <c r="G878" s="105"/>
      <c r="H878" s="90"/>
      <c r="I878" s="90"/>
    </row>
    <row r="879" spans="1:9" ht="24.75" customHeight="1" thickBot="1" x14ac:dyDescent="0.25">
      <c r="A879" s="90"/>
      <c r="B879" s="90"/>
      <c r="C879" s="90"/>
      <c r="D879" s="90"/>
      <c r="E879" s="90"/>
      <c r="F879" s="90"/>
      <c r="G879" s="105"/>
      <c r="H879" s="90"/>
      <c r="I879" s="90"/>
    </row>
    <row r="880" spans="1:9" ht="24.75" customHeight="1" thickBot="1" x14ac:dyDescent="0.25">
      <c r="A880" s="90"/>
      <c r="B880" s="90"/>
      <c r="C880" s="90"/>
      <c r="D880" s="90"/>
      <c r="E880" s="90"/>
      <c r="F880" s="90"/>
      <c r="G880" s="105"/>
      <c r="H880" s="90"/>
      <c r="I880" s="90"/>
    </row>
    <row r="881" spans="1:9" ht="24.75" customHeight="1" thickBot="1" x14ac:dyDescent="0.25">
      <c r="A881" s="90"/>
      <c r="B881" s="90"/>
      <c r="C881" s="90"/>
      <c r="D881" s="90"/>
      <c r="E881" s="90"/>
      <c r="F881" s="90"/>
      <c r="G881" s="105"/>
      <c r="H881" s="90"/>
      <c r="I881" s="90"/>
    </row>
    <row r="882" spans="1:9" ht="24.75" customHeight="1" thickBot="1" x14ac:dyDescent="0.25">
      <c r="A882" s="90"/>
      <c r="B882" s="90"/>
      <c r="C882" s="90"/>
      <c r="D882" s="90"/>
      <c r="E882" s="90"/>
      <c r="F882" s="90"/>
      <c r="G882" s="105"/>
      <c r="H882" s="90"/>
      <c r="I882" s="90"/>
    </row>
    <row r="883" spans="1:9" ht="24.75" customHeight="1" thickBot="1" x14ac:dyDescent="0.25">
      <c r="A883" s="90"/>
      <c r="B883" s="90"/>
      <c r="C883" s="90"/>
      <c r="D883" s="90"/>
      <c r="E883" s="90"/>
      <c r="F883" s="90"/>
      <c r="G883" s="105"/>
      <c r="H883" s="90"/>
      <c r="I883" s="90"/>
    </row>
    <row r="884" spans="1:9" ht="24.75" customHeight="1" thickBot="1" x14ac:dyDescent="0.25">
      <c r="A884" s="90"/>
      <c r="B884" s="90"/>
      <c r="C884" s="90"/>
      <c r="D884" s="90"/>
      <c r="E884" s="90"/>
      <c r="F884" s="90"/>
      <c r="G884" s="105"/>
      <c r="H884" s="90"/>
      <c r="I884" s="90"/>
    </row>
    <row r="885" spans="1:9" ht="24.75" customHeight="1" thickBot="1" x14ac:dyDescent="0.25">
      <c r="A885" s="90"/>
      <c r="B885" s="90"/>
      <c r="C885" s="90"/>
      <c r="D885" s="90"/>
      <c r="E885" s="90"/>
      <c r="F885" s="90"/>
      <c r="G885" s="105"/>
      <c r="H885" s="90"/>
      <c r="I885" s="90"/>
    </row>
    <row r="886" spans="1:9" ht="24.75" customHeight="1" thickBot="1" x14ac:dyDescent="0.25">
      <c r="A886" s="90"/>
      <c r="B886" s="90"/>
      <c r="C886" s="90"/>
      <c r="D886" s="90"/>
      <c r="E886" s="90"/>
      <c r="F886" s="90"/>
      <c r="G886" s="105"/>
      <c r="H886" s="90"/>
      <c r="I886" s="90"/>
    </row>
    <row r="887" spans="1:9" ht="24.75" customHeight="1" thickBot="1" x14ac:dyDescent="0.25">
      <c r="A887" s="90"/>
      <c r="B887" s="90"/>
      <c r="C887" s="90"/>
      <c r="D887" s="90"/>
      <c r="E887" s="90"/>
      <c r="F887" s="90"/>
      <c r="G887" s="105"/>
      <c r="H887" s="90"/>
      <c r="I887" s="90"/>
    </row>
    <row r="888" spans="1:9" ht="24.75" customHeight="1" thickBot="1" x14ac:dyDescent="0.25">
      <c r="A888" s="90"/>
      <c r="B888" s="90"/>
      <c r="C888" s="90"/>
      <c r="D888" s="90"/>
      <c r="E888" s="90"/>
      <c r="F888" s="90"/>
      <c r="G888" s="105"/>
      <c r="H888" s="90"/>
      <c r="I888" s="90"/>
    </row>
    <row r="889" spans="1:9" ht="24.75" customHeight="1" thickBot="1" x14ac:dyDescent="0.25">
      <c r="A889" s="90"/>
      <c r="B889" s="90"/>
      <c r="C889" s="90"/>
      <c r="D889" s="90"/>
      <c r="E889" s="90"/>
      <c r="F889" s="90"/>
      <c r="G889" s="105"/>
      <c r="H889" s="90"/>
      <c r="I889" s="90"/>
    </row>
    <row r="890" spans="1:9" ht="24.75" customHeight="1" thickBot="1" x14ac:dyDescent="0.25">
      <c r="A890" s="90"/>
      <c r="B890" s="90"/>
      <c r="C890" s="90"/>
      <c r="D890" s="90"/>
      <c r="E890" s="90"/>
      <c r="F890" s="90"/>
      <c r="G890" s="105"/>
      <c r="H890" s="90"/>
      <c r="I890" s="90"/>
    </row>
    <row r="891" spans="1:9" ht="24.75" customHeight="1" thickBot="1" x14ac:dyDescent="0.25">
      <c r="A891" s="90"/>
      <c r="B891" s="90"/>
      <c r="C891" s="90"/>
      <c r="D891" s="90"/>
      <c r="E891" s="90"/>
      <c r="F891" s="90"/>
      <c r="G891" s="105"/>
      <c r="H891" s="90"/>
      <c r="I891" s="90"/>
    </row>
    <row r="892" spans="1:9" ht="24.75" customHeight="1" thickBot="1" x14ac:dyDescent="0.25">
      <c r="A892" s="90"/>
      <c r="B892" s="90"/>
      <c r="C892" s="90"/>
      <c r="D892" s="90"/>
      <c r="E892" s="90"/>
      <c r="F892" s="90"/>
      <c r="G892" s="105"/>
      <c r="H892" s="90"/>
      <c r="I892" s="90"/>
    </row>
    <row r="893" spans="1:9" ht="24.75" customHeight="1" thickBot="1" x14ac:dyDescent="0.25">
      <c r="A893" s="90"/>
      <c r="B893" s="90"/>
      <c r="C893" s="90"/>
      <c r="D893" s="90"/>
      <c r="E893" s="90"/>
      <c r="F893" s="90"/>
      <c r="G893" s="105"/>
      <c r="H893" s="90"/>
      <c r="I893" s="90"/>
    </row>
    <row r="894" spans="1:9" ht="24.75" customHeight="1" thickBot="1" x14ac:dyDescent="0.25">
      <c r="A894" s="90"/>
      <c r="B894" s="90"/>
      <c r="C894" s="90"/>
      <c r="D894" s="90"/>
      <c r="E894" s="90"/>
      <c r="F894" s="90"/>
      <c r="G894" s="105"/>
      <c r="H894" s="90"/>
      <c r="I894" s="90"/>
    </row>
    <row r="895" spans="1:9" ht="24.75" customHeight="1" thickBot="1" x14ac:dyDescent="0.25">
      <c r="A895" s="90"/>
      <c r="B895" s="90"/>
      <c r="C895" s="90"/>
      <c r="D895" s="90"/>
      <c r="E895" s="90"/>
      <c r="F895" s="90"/>
      <c r="G895" s="105"/>
      <c r="H895" s="90"/>
      <c r="I895" s="90"/>
    </row>
    <row r="896" spans="1:9" ht="24.75" customHeight="1" thickBot="1" x14ac:dyDescent="0.25">
      <c r="A896" s="90"/>
      <c r="B896" s="90"/>
      <c r="C896" s="90"/>
      <c r="D896" s="90"/>
      <c r="E896" s="90"/>
      <c r="F896" s="90"/>
      <c r="G896" s="105"/>
      <c r="H896" s="90"/>
      <c r="I896" s="90"/>
    </row>
    <row r="897" spans="1:9" ht="24.75" customHeight="1" thickBot="1" x14ac:dyDescent="0.25">
      <c r="A897" s="90"/>
      <c r="B897" s="90"/>
      <c r="C897" s="90"/>
      <c r="D897" s="90"/>
      <c r="E897" s="90"/>
      <c r="F897" s="90"/>
      <c r="G897" s="105"/>
      <c r="H897" s="90"/>
      <c r="I897" s="90"/>
    </row>
    <row r="898" spans="1:9" ht="24.75" customHeight="1" thickBot="1" x14ac:dyDescent="0.25">
      <c r="A898" s="90"/>
      <c r="B898" s="90"/>
      <c r="C898" s="90"/>
      <c r="D898" s="90"/>
      <c r="E898" s="90"/>
      <c r="F898" s="90"/>
      <c r="G898" s="105"/>
      <c r="H898" s="90"/>
      <c r="I898" s="90"/>
    </row>
    <row r="899" spans="1:9" ht="24.75" customHeight="1" thickBot="1" x14ac:dyDescent="0.25">
      <c r="A899" s="90"/>
      <c r="B899" s="90"/>
      <c r="C899" s="90"/>
      <c r="D899" s="90"/>
      <c r="E899" s="90"/>
      <c r="F899" s="90"/>
      <c r="G899" s="105"/>
      <c r="H899" s="90"/>
      <c r="I899" s="90"/>
    </row>
    <row r="900" spans="1:9" ht="24.75" customHeight="1" thickBot="1" x14ac:dyDescent="0.25">
      <c r="A900" s="90"/>
      <c r="B900" s="90"/>
      <c r="C900" s="90"/>
      <c r="D900" s="90"/>
      <c r="E900" s="90"/>
      <c r="F900" s="90"/>
      <c r="G900" s="105"/>
      <c r="H900" s="90"/>
      <c r="I900" s="90"/>
    </row>
    <row r="901" spans="1:9" ht="24.75" customHeight="1" thickBot="1" x14ac:dyDescent="0.25">
      <c r="A901" s="90"/>
      <c r="B901" s="90"/>
      <c r="C901" s="90"/>
      <c r="D901" s="90"/>
      <c r="E901" s="90"/>
      <c r="F901" s="90"/>
      <c r="G901" s="105"/>
      <c r="H901" s="90"/>
      <c r="I901" s="90"/>
    </row>
    <row r="902" spans="1:9" ht="24.75" customHeight="1" thickBot="1" x14ac:dyDescent="0.25">
      <c r="A902" s="90"/>
      <c r="B902" s="90"/>
      <c r="C902" s="90"/>
      <c r="D902" s="90"/>
      <c r="E902" s="90"/>
      <c r="F902" s="90"/>
      <c r="G902" s="105"/>
      <c r="H902" s="90"/>
      <c r="I902" s="90"/>
    </row>
    <row r="903" spans="1:9" ht="24.75" customHeight="1" thickBot="1" x14ac:dyDescent="0.25">
      <c r="A903" s="90"/>
      <c r="B903" s="90"/>
      <c r="C903" s="90"/>
      <c r="D903" s="90"/>
      <c r="E903" s="90"/>
      <c r="F903" s="90"/>
      <c r="G903" s="105"/>
      <c r="H903" s="90"/>
      <c r="I903" s="90"/>
    </row>
    <row r="904" spans="1:9" ht="24.75" customHeight="1" thickBot="1" x14ac:dyDescent="0.25">
      <c r="A904" s="90"/>
      <c r="B904" s="90"/>
      <c r="C904" s="90"/>
      <c r="D904" s="90"/>
      <c r="E904" s="90"/>
      <c r="F904" s="90"/>
      <c r="G904" s="105"/>
      <c r="H904" s="90"/>
      <c r="I904" s="90"/>
    </row>
    <row r="905" spans="1:9" ht="24.75" customHeight="1" thickBot="1" x14ac:dyDescent="0.25">
      <c r="A905" s="90"/>
      <c r="B905" s="90"/>
      <c r="C905" s="90"/>
      <c r="D905" s="90"/>
      <c r="E905" s="90"/>
      <c r="F905" s="90"/>
      <c r="G905" s="105"/>
      <c r="H905" s="90"/>
      <c r="I905" s="90"/>
    </row>
    <row r="906" spans="1:9" ht="24.75" customHeight="1" thickBot="1" x14ac:dyDescent="0.25">
      <c r="A906" s="90"/>
      <c r="B906" s="90"/>
      <c r="C906" s="90"/>
      <c r="D906" s="90"/>
      <c r="E906" s="90"/>
      <c r="F906" s="90"/>
      <c r="G906" s="105"/>
      <c r="H906" s="90"/>
      <c r="I906" s="90"/>
    </row>
    <row r="907" spans="1:9" ht="24.75" customHeight="1" thickBot="1" x14ac:dyDescent="0.25">
      <c r="A907" s="90"/>
      <c r="B907" s="90"/>
      <c r="C907" s="90"/>
      <c r="D907" s="90"/>
      <c r="E907" s="90"/>
      <c r="F907" s="90"/>
      <c r="G907" s="105"/>
      <c r="H907" s="90"/>
      <c r="I907" s="90"/>
    </row>
    <row r="908" spans="1:9" ht="24.75" customHeight="1" thickBot="1" x14ac:dyDescent="0.25">
      <c r="A908" s="90"/>
      <c r="B908" s="90"/>
      <c r="C908" s="90"/>
      <c r="D908" s="90"/>
      <c r="E908" s="90"/>
      <c r="F908" s="90"/>
      <c r="G908" s="105"/>
      <c r="H908" s="90"/>
      <c r="I908" s="90"/>
    </row>
    <row r="909" spans="1:9" ht="24.75" customHeight="1" thickBot="1" x14ac:dyDescent="0.25">
      <c r="A909" s="90"/>
      <c r="B909" s="90"/>
      <c r="C909" s="90"/>
      <c r="D909" s="90"/>
      <c r="E909" s="90"/>
      <c r="F909" s="90"/>
      <c r="G909" s="105"/>
      <c r="H909" s="90"/>
      <c r="I909" s="90"/>
    </row>
    <row r="910" spans="1:9" ht="24.75" customHeight="1" thickBot="1" x14ac:dyDescent="0.25">
      <c r="A910" s="90"/>
      <c r="B910" s="90"/>
      <c r="C910" s="90"/>
      <c r="D910" s="90"/>
      <c r="E910" s="90"/>
      <c r="F910" s="90"/>
      <c r="G910" s="105"/>
      <c r="H910" s="90"/>
      <c r="I910" s="90"/>
    </row>
    <row r="911" spans="1:9" ht="24.75" customHeight="1" thickBot="1" x14ac:dyDescent="0.25">
      <c r="A911" s="90"/>
      <c r="B911" s="90"/>
      <c r="C911" s="90"/>
      <c r="D911" s="90"/>
      <c r="E911" s="90"/>
      <c r="F911" s="90"/>
      <c r="G911" s="105"/>
      <c r="H911" s="90"/>
      <c r="I911" s="90"/>
    </row>
    <row r="912" spans="1:9" ht="24.75" customHeight="1" thickBot="1" x14ac:dyDescent="0.25">
      <c r="A912" s="90"/>
      <c r="B912" s="90"/>
      <c r="C912" s="90"/>
      <c r="D912" s="90"/>
      <c r="E912" s="90"/>
      <c r="F912" s="90"/>
      <c r="G912" s="105"/>
      <c r="H912" s="90"/>
      <c r="I912" s="90"/>
    </row>
    <row r="913" spans="1:9" ht="24.75" customHeight="1" thickBot="1" x14ac:dyDescent="0.25">
      <c r="A913" s="90"/>
      <c r="B913" s="90"/>
      <c r="C913" s="90"/>
      <c r="D913" s="90"/>
      <c r="E913" s="90"/>
      <c r="F913" s="90"/>
      <c r="G913" s="105"/>
      <c r="H913" s="90"/>
      <c r="I913" s="90"/>
    </row>
    <row r="914" spans="1:9" ht="24.75" customHeight="1" thickBot="1" x14ac:dyDescent="0.25">
      <c r="A914" s="90"/>
      <c r="B914" s="90"/>
      <c r="C914" s="90"/>
      <c r="D914" s="90"/>
      <c r="E914" s="90"/>
      <c r="F914" s="90"/>
      <c r="G914" s="105"/>
      <c r="H914" s="90"/>
      <c r="I914" s="90"/>
    </row>
    <row r="915" spans="1:9" ht="24.75" customHeight="1" thickBot="1" x14ac:dyDescent="0.25">
      <c r="A915" s="90"/>
      <c r="B915" s="90"/>
      <c r="C915" s="90"/>
      <c r="D915" s="90"/>
      <c r="E915" s="90"/>
      <c r="F915" s="90"/>
      <c r="G915" s="105"/>
      <c r="H915" s="90"/>
      <c r="I915" s="90"/>
    </row>
    <row r="916" spans="1:9" ht="24.75" customHeight="1" thickBot="1" x14ac:dyDescent="0.25">
      <c r="A916" s="90"/>
      <c r="B916" s="90"/>
      <c r="C916" s="90"/>
      <c r="D916" s="90"/>
      <c r="E916" s="90"/>
      <c r="F916" s="90"/>
      <c r="G916" s="105"/>
      <c r="H916" s="90"/>
      <c r="I916" s="90"/>
    </row>
    <row r="917" spans="1:9" ht="24.75" customHeight="1" thickBot="1" x14ac:dyDescent="0.25">
      <c r="A917" s="90"/>
      <c r="B917" s="90"/>
      <c r="C917" s="90"/>
      <c r="D917" s="90"/>
      <c r="E917" s="90"/>
      <c r="F917" s="90"/>
      <c r="G917" s="105"/>
      <c r="H917" s="90"/>
      <c r="I917" s="90"/>
    </row>
    <row r="918" spans="1:9" ht="24.75" customHeight="1" thickBot="1" x14ac:dyDescent="0.25">
      <c r="A918" s="90"/>
      <c r="B918" s="90"/>
      <c r="C918" s="90"/>
      <c r="D918" s="90"/>
      <c r="E918" s="90"/>
      <c r="F918" s="90"/>
      <c r="G918" s="105"/>
      <c r="H918" s="90"/>
      <c r="I918" s="90"/>
    </row>
    <row r="919" spans="1:9" ht="24.75" customHeight="1" thickBot="1" x14ac:dyDescent="0.25">
      <c r="A919" s="90"/>
      <c r="B919" s="90"/>
      <c r="C919" s="90"/>
      <c r="D919" s="90"/>
      <c r="E919" s="90"/>
      <c r="F919" s="90"/>
      <c r="G919" s="105"/>
      <c r="H919" s="90"/>
      <c r="I919" s="90"/>
    </row>
    <row r="920" spans="1:9" ht="24.75" customHeight="1" thickBot="1" x14ac:dyDescent="0.25">
      <c r="A920" s="90"/>
      <c r="B920" s="90"/>
      <c r="C920" s="90"/>
      <c r="D920" s="90"/>
      <c r="E920" s="90"/>
      <c r="F920" s="90"/>
      <c r="G920" s="105"/>
      <c r="H920" s="90"/>
      <c r="I920" s="90"/>
    </row>
    <row r="921" spans="1:9" ht="24.75" customHeight="1" thickBot="1" x14ac:dyDescent="0.25">
      <c r="A921" s="90"/>
      <c r="B921" s="90"/>
      <c r="C921" s="90"/>
      <c r="D921" s="90"/>
      <c r="E921" s="90"/>
      <c r="F921" s="90"/>
      <c r="G921" s="105"/>
      <c r="H921" s="90"/>
      <c r="I921" s="90"/>
    </row>
    <row r="922" spans="1:9" ht="24.75" customHeight="1" thickBot="1" x14ac:dyDescent="0.25">
      <c r="A922" s="90"/>
      <c r="B922" s="90"/>
      <c r="C922" s="90"/>
      <c r="D922" s="90"/>
      <c r="E922" s="90"/>
      <c r="F922" s="90"/>
      <c r="G922" s="105"/>
      <c r="H922" s="90"/>
      <c r="I922" s="90"/>
    </row>
    <row r="923" spans="1:9" ht="24.75" customHeight="1" thickBot="1" x14ac:dyDescent="0.25">
      <c r="A923" s="90"/>
      <c r="B923" s="90"/>
      <c r="C923" s="90"/>
      <c r="D923" s="90"/>
      <c r="E923" s="90"/>
      <c r="F923" s="90"/>
      <c r="G923" s="105"/>
      <c r="H923" s="90"/>
      <c r="I923" s="90"/>
    </row>
    <row r="924" spans="1:9" ht="24.75" customHeight="1" thickBot="1" x14ac:dyDescent="0.25">
      <c r="A924" s="90"/>
      <c r="B924" s="90"/>
      <c r="C924" s="90"/>
      <c r="D924" s="90"/>
      <c r="E924" s="90"/>
      <c r="F924" s="90"/>
      <c r="G924" s="105"/>
      <c r="H924" s="90"/>
      <c r="I924" s="90"/>
    </row>
    <row r="925" spans="1:9" ht="24.75" customHeight="1" thickBot="1" x14ac:dyDescent="0.25">
      <c r="A925" s="90"/>
      <c r="B925" s="90"/>
      <c r="C925" s="90"/>
      <c r="D925" s="90"/>
      <c r="E925" s="90"/>
      <c r="F925" s="90"/>
      <c r="G925" s="105"/>
      <c r="H925" s="90"/>
      <c r="I925" s="90"/>
    </row>
    <row r="926" spans="1:9" ht="24.75" customHeight="1" thickBot="1" x14ac:dyDescent="0.25">
      <c r="A926" s="90"/>
      <c r="B926" s="90"/>
      <c r="C926" s="90"/>
      <c r="D926" s="90"/>
      <c r="E926" s="90"/>
      <c r="F926" s="90"/>
      <c r="G926" s="105"/>
      <c r="H926" s="90"/>
      <c r="I926" s="90"/>
    </row>
    <row r="927" spans="1:9" ht="24.75" customHeight="1" thickBot="1" x14ac:dyDescent="0.25">
      <c r="A927" s="90"/>
      <c r="B927" s="90"/>
      <c r="C927" s="90"/>
      <c r="D927" s="90"/>
      <c r="E927" s="90"/>
      <c r="F927" s="90"/>
      <c r="G927" s="105"/>
      <c r="H927" s="90"/>
      <c r="I927" s="90"/>
    </row>
    <row r="928" spans="1:9" ht="24.75" customHeight="1" thickBot="1" x14ac:dyDescent="0.25">
      <c r="A928" s="90"/>
      <c r="B928" s="90"/>
      <c r="C928" s="90"/>
      <c r="D928" s="90"/>
      <c r="E928" s="90"/>
      <c r="F928" s="90"/>
      <c r="G928" s="105"/>
      <c r="H928" s="90"/>
      <c r="I928" s="90"/>
    </row>
    <row r="929" spans="1:9" ht="24.75" customHeight="1" thickBot="1" x14ac:dyDescent="0.25">
      <c r="A929" s="90"/>
      <c r="B929" s="90"/>
      <c r="C929" s="90"/>
      <c r="D929" s="90"/>
      <c r="E929" s="90"/>
      <c r="F929" s="90"/>
      <c r="G929" s="105"/>
      <c r="H929" s="90"/>
      <c r="I929" s="90"/>
    </row>
    <row r="930" spans="1:9" ht="24.75" customHeight="1" thickBot="1" x14ac:dyDescent="0.25">
      <c r="A930" s="90"/>
      <c r="B930" s="90"/>
      <c r="C930" s="90"/>
      <c r="D930" s="90"/>
      <c r="E930" s="90"/>
      <c r="F930" s="90"/>
      <c r="G930" s="105"/>
      <c r="H930" s="90"/>
      <c r="I930" s="90"/>
    </row>
    <row r="931" spans="1:9" ht="24.75" customHeight="1" thickBot="1" x14ac:dyDescent="0.25">
      <c r="A931" s="90"/>
      <c r="B931" s="90"/>
      <c r="C931" s="90"/>
      <c r="D931" s="90"/>
      <c r="E931" s="90"/>
      <c r="F931" s="90"/>
      <c r="G931" s="105"/>
      <c r="H931" s="90"/>
      <c r="I931" s="90"/>
    </row>
    <row r="932" spans="1:9" ht="24.75" customHeight="1" thickBot="1" x14ac:dyDescent="0.25">
      <c r="A932" s="90"/>
      <c r="B932" s="90"/>
      <c r="C932" s="90"/>
      <c r="D932" s="90"/>
      <c r="E932" s="90"/>
      <c r="F932" s="90"/>
      <c r="G932" s="105"/>
      <c r="H932" s="90"/>
      <c r="I932" s="90"/>
    </row>
    <row r="933" spans="1:9" ht="24.75" customHeight="1" thickBot="1" x14ac:dyDescent="0.25">
      <c r="A933" s="90"/>
      <c r="B933" s="90"/>
      <c r="C933" s="90"/>
      <c r="D933" s="90"/>
      <c r="E933" s="90"/>
      <c r="F933" s="90"/>
      <c r="G933" s="105"/>
      <c r="H933" s="90"/>
      <c r="I933" s="90"/>
    </row>
    <row r="934" spans="1:9" ht="24.75" customHeight="1" thickBot="1" x14ac:dyDescent="0.25">
      <c r="A934" s="90"/>
      <c r="B934" s="90"/>
      <c r="C934" s="90"/>
      <c r="D934" s="90"/>
      <c r="E934" s="90"/>
      <c r="F934" s="90"/>
      <c r="G934" s="105"/>
      <c r="H934" s="90"/>
      <c r="I934" s="90"/>
    </row>
    <row r="935" spans="1:9" ht="24.75" customHeight="1" thickBot="1" x14ac:dyDescent="0.25">
      <c r="A935" s="90"/>
      <c r="B935" s="90"/>
      <c r="C935" s="90"/>
      <c r="D935" s="90"/>
      <c r="E935" s="90"/>
      <c r="F935" s="90"/>
      <c r="G935" s="105"/>
      <c r="H935" s="90"/>
      <c r="I935" s="90"/>
    </row>
    <row r="936" spans="1:9" ht="24.75" customHeight="1" thickBot="1" x14ac:dyDescent="0.25">
      <c r="A936" s="90"/>
      <c r="B936" s="90"/>
      <c r="C936" s="90"/>
      <c r="D936" s="90"/>
      <c r="E936" s="90"/>
      <c r="F936" s="90"/>
      <c r="G936" s="105"/>
      <c r="H936" s="90"/>
      <c r="I936" s="90"/>
    </row>
    <row r="937" spans="1:9" ht="24.75" customHeight="1" thickBot="1" x14ac:dyDescent="0.25">
      <c r="A937" s="90"/>
      <c r="B937" s="90"/>
      <c r="C937" s="90"/>
      <c r="D937" s="90"/>
      <c r="E937" s="90"/>
      <c r="F937" s="90"/>
      <c r="G937" s="105"/>
      <c r="H937" s="90"/>
      <c r="I937" s="90"/>
    </row>
    <row r="938" spans="1:9" ht="24.75" customHeight="1" thickBot="1" x14ac:dyDescent="0.25">
      <c r="A938" s="90"/>
      <c r="B938" s="90"/>
      <c r="C938" s="90"/>
      <c r="D938" s="90"/>
      <c r="E938" s="90"/>
      <c r="F938" s="90"/>
      <c r="G938" s="105"/>
      <c r="H938" s="90"/>
      <c r="I938" s="90"/>
    </row>
    <row r="939" spans="1:9" ht="24.75" customHeight="1" thickBot="1" x14ac:dyDescent="0.25">
      <c r="A939" s="90"/>
      <c r="B939" s="90"/>
      <c r="C939" s="90"/>
      <c r="D939" s="90"/>
      <c r="E939" s="90"/>
      <c r="F939" s="90"/>
      <c r="G939" s="105"/>
      <c r="H939" s="90"/>
      <c r="I939" s="90"/>
    </row>
    <row r="940" spans="1:9" ht="24.75" customHeight="1" thickBot="1" x14ac:dyDescent="0.25">
      <c r="A940" s="90"/>
      <c r="B940" s="90"/>
      <c r="C940" s="90"/>
      <c r="D940" s="90"/>
      <c r="E940" s="90"/>
      <c r="F940" s="90"/>
      <c r="G940" s="105"/>
      <c r="H940" s="90"/>
      <c r="I940" s="90"/>
    </row>
    <row r="941" spans="1:9" ht="24.75" customHeight="1" thickBot="1" x14ac:dyDescent="0.25">
      <c r="A941" s="90"/>
      <c r="B941" s="90"/>
      <c r="C941" s="90"/>
      <c r="D941" s="90"/>
      <c r="E941" s="90"/>
      <c r="F941" s="90"/>
      <c r="G941" s="105"/>
      <c r="H941" s="90"/>
      <c r="I941" s="90"/>
    </row>
    <row r="942" spans="1:9" ht="24.75" customHeight="1" thickBot="1" x14ac:dyDescent="0.25">
      <c r="A942" s="90"/>
      <c r="B942" s="90"/>
      <c r="C942" s="90"/>
      <c r="D942" s="90"/>
      <c r="E942" s="90"/>
      <c r="F942" s="90"/>
      <c r="G942" s="105"/>
      <c r="H942" s="90"/>
      <c r="I942" s="90"/>
    </row>
    <row r="943" spans="1:9" ht="24.75" customHeight="1" thickBot="1" x14ac:dyDescent="0.25">
      <c r="A943" s="90"/>
      <c r="B943" s="90"/>
      <c r="C943" s="90"/>
      <c r="D943" s="90"/>
      <c r="E943" s="90"/>
      <c r="F943" s="90"/>
      <c r="G943" s="105"/>
      <c r="H943" s="90"/>
      <c r="I943" s="90"/>
    </row>
    <row r="944" spans="1:9" ht="24.75" customHeight="1" thickBot="1" x14ac:dyDescent="0.25">
      <c r="A944" s="90"/>
      <c r="B944" s="90"/>
      <c r="C944" s="90"/>
      <c r="D944" s="90"/>
      <c r="E944" s="90"/>
      <c r="F944" s="90"/>
      <c r="G944" s="105"/>
      <c r="H944" s="90"/>
      <c r="I944" s="90"/>
    </row>
    <row r="945" spans="1:9" ht="24.75" customHeight="1" thickBot="1" x14ac:dyDescent="0.25">
      <c r="A945" s="90"/>
      <c r="B945" s="90"/>
      <c r="C945" s="90"/>
      <c r="D945" s="90"/>
      <c r="E945" s="90"/>
      <c r="F945" s="90"/>
      <c r="G945" s="105"/>
      <c r="H945" s="90"/>
      <c r="I945" s="90"/>
    </row>
    <row r="946" spans="1:9" ht="24.75" customHeight="1" thickBot="1" x14ac:dyDescent="0.25">
      <c r="A946" s="90"/>
      <c r="B946" s="90"/>
      <c r="C946" s="90"/>
      <c r="D946" s="90"/>
      <c r="E946" s="90"/>
      <c r="F946" s="90"/>
      <c r="G946" s="105"/>
      <c r="H946" s="90"/>
      <c r="I946" s="90"/>
    </row>
    <row r="947" spans="1:9" ht="24.75" customHeight="1" thickBot="1" x14ac:dyDescent="0.25">
      <c r="A947" s="90"/>
      <c r="B947" s="90"/>
      <c r="C947" s="90"/>
      <c r="D947" s="90"/>
      <c r="E947" s="90"/>
      <c r="F947" s="90"/>
      <c r="G947" s="105"/>
      <c r="H947" s="90"/>
      <c r="I947" s="90"/>
    </row>
    <row r="948" spans="1:9" ht="24.75" customHeight="1" thickBot="1" x14ac:dyDescent="0.25">
      <c r="A948" s="90"/>
      <c r="B948" s="90"/>
      <c r="C948" s="90"/>
      <c r="D948" s="90"/>
      <c r="E948" s="90"/>
      <c r="F948" s="90"/>
      <c r="G948" s="105"/>
      <c r="H948" s="90"/>
      <c r="I948" s="90"/>
    </row>
    <row r="949" spans="1:9" ht="24.75" customHeight="1" thickBot="1" x14ac:dyDescent="0.25">
      <c r="A949" s="90"/>
      <c r="B949" s="90"/>
      <c r="C949" s="90"/>
      <c r="D949" s="90"/>
      <c r="E949" s="90"/>
      <c r="F949" s="90"/>
      <c r="G949" s="105"/>
      <c r="H949" s="90"/>
      <c r="I949" s="90"/>
    </row>
    <row r="950" spans="1:9" ht="24.75" customHeight="1" thickBot="1" x14ac:dyDescent="0.25">
      <c r="A950" s="90"/>
      <c r="B950" s="90"/>
      <c r="C950" s="90"/>
      <c r="D950" s="90"/>
      <c r="E950" s="90"/>
      <c r="F950" s="90"/>
      <c r="G950" s="105"/>
      <c r="H950" s="90"/>
      <c r="I950" s="90"/>
    </row>
    <row r="951" spans="1:9" ht="24.75" customHeight="1" thickBot="1" x14ac:dyDescent="0.25">
      <c r="A951" s="90"/>
      <c r="B951" s="90"/>
      <c r="C951" s="90"/>
      <c r="D951" s="90"/>
      <c r="E951" s="90"/>
      <c r="F951" s="90"/>
      <c r="G951" s="105"/>
      <c r="H951" s="90"/>
      <c r="I951" s="90"/>
    </row>
    <row r="952" spans="1:9" ht="24.75" customHeight="1" thickBot="1" x14ac:dyDescent="0.25">
      <c r="A952" s="90"/>
      <c r="B952" s="90"/>
      <c r="C952" s="90"/>
      <c r="D952" s="90"/>
      <c r="E952" s="90"/>
      <c r="F952" s="90"/>
      <c r="G952" s="105"/>
      <c r="H952" s="90"/>
      <c r="I952" s="90"/>
    </row>
    <row r="953" spans="1:9" ht="24.75" customHeight="1" thickBot="1" x14ac:dyDescent="0.25">
      <c r="A953" s="90"/>
      <c r="B953" s="90"/>
      <c r="C953" s="90"/>
      <c r="D953" s="90"/>
      <c r="E953" s="90"/>
      <c r="F953" s="90"/>
      <c r="G953" s="105"/>
      <c r="H953" s="90"/>
      <c r="I953" s="90"/>
    </row>
    <row r="954" spans="1:9" ht="24.75" customHeight="1" thickBot="1" x14ac:dyDescent="0.25">
      <c r="A954" s="90"/>
      <c r="B954" s="90"/>
      <c r="C954" s="90"/>
      <c r="D954" s="90"/>
      <c r="E954" s="90"/>
      <c r="F954" s="90"/>
      <c r="G954" s="105"/>
      <c r="H954" s="90"/>
      <c r="I954" s="90"/>
    </row>
    <row r="955" spans="1:9" ht="24.75" customHeight="1" thickBot="1" x14ac:dyDescent="0.25">
      <c r="A955" s="90"/>
      <c r="B955" s="90"/>
      <c r="C955" s="90"/>
      <c r="D955" s="90"/>
      <c r="E955" s="90"/>
      <c r="F955" s="90"/>
      <c r="G955" s="105"/>
      <c r="H955" s="90"/>
      <c r="I955" s="90"/>
    </row>
    <row r="956" spans="1:9" ht="24.75" customHeight="1" thickBot="1" x14ac:dyDescent="0.25">
      <c r="A956" s="90"/>
      <c r="B956" s="90"/>
      <c r="C956" s="90"/>
      <c r="D956" s="90"/>
      <c r="E956" s="90"/>
      <c r="F956" s="90"/>
      <c r="G956" s="105"/>
      <c r="H956" s="90"/>
      <c r="I956" s="90"/>
    </row>
    <row r="957" spans="1:9" ht="24.75" customHeight="1" thickBot="1" x14ac:dyDescent="0.25">
      <c r="A957" s="90"/>
      <c r="B957" s="90"/>
      <c r="C957" s="90"/>
      <c r="D957" s="90"/>
      <c r="E957" s="90"/>
      <c r="F957" s="90"/>
      <c r="G957" s="105"/>
      <c r="H957" s="90"/>
      <c r="I957" s="90"/>
    </row>
    <row r="958" spans="1:9" ht="24.75" customHeight="1" thickBot="1" x14ac:dyDescent="0.25">
      <c r="A958" s="90"/>
      <c r="B958" s="90"/>
      <c r="C958" s="90"/>
      <c r="D958" s="90"/>
      <c r="E958" s="90"/>
      <c r="F958" s="90"/>
      <c r="G958" s="105"/>
      <c r="H958" s="90"/>
      <c r="I958" s="90"/>
    </row>
    <row r="959" spans="1:9" ht="24.75" customHeight="1" thickBot="1" x14ac:dyDescent="0.25">
      <c r="A959" s="90"/>
      <c r="B959" s="90"/>
      <c r="C959" s="90"/>
      <c r="D959" s="90"/>
      <c r="E959" s="90"/>
      <c r="F959" s="90"/>
      <c r="G959" s="105"/>
      <c r="H959" s="90"/>
      <c r="I959" s="90"/>
    </row>
    <row r="960" spans="1:9" ht="24.75" customHeight="1" thickBot="1" x14ac:dyDescent="0.25">
      <c r="A960" s="90"/>
      <c r="B960" s="90"/>
      <c r="C960" s="90"/>
      <c r="D960" s="90"/>
      <c r="E960" s="90"/>
      <c r="F960" s="90"/>
      <c r="G960" s="105"/>
      <c r="H960" s="90"/>
      <c r="I960" s="90"/>
    </row>
    <row r="961" spans="1:9" ht="24.75" customHeight="1" thickBot="1" x14ac:dyDescent="0.25">
      <c r="A961" s="90"/>
      <c r="B961" s="90"/>
      <c r="C961" s="90"/>
      <c r="D961" s="90"/>
      <c r="E961" s="90"/>
      <c r="F961" s="90"/>
      <c r="G961" s="105"/>
      <c r="H961" s="90"/>
      <c r="I961" s="90"/>
    </row>
    <row r="962" spans="1:9" ht="24.75" customHeight="1" thickBot="1" x14ac:dyDescent="0.25">
      <c r="A962" s="90"/>
      <c r="B962" s="90"/>
      <c r="C962" s="90"/>
      <c r="D962" s="90"/>
      <c r="E962" s="90"/>
      <c r="F962" s="90"/>
      <c r="G962" s="105"/>
      <c r="H962" s="90"/>
      <c r="I962" s="90"/>
    </row>
    <row r="963" spans="1:9" ht="24.75" customHeight="1" thickBot="1" x14ac:dyDescent="0.25">
      <c r="A963" s="90"/>
      <c r="B963" s="90"/>
      <c r="C963" s="90"/>
      <c r="D963" s="90"/>
      <c r="E963" s="90"/>
      <c r="F963" s="90"/>
      <c r="G963" s="105"/>
      <c r="H963" s="90"/>
      <c r="I963" s="90"/>
    </row>
    <row r="964" spans="1:9" ht="24.75" customHeight="1" thickBot="1" x14ac:dyDescent="0.25">
      <c r="A964" s="90"/>
      <c r="B964" s="90"/>
      <c r="C964" s="90"/>
      <c r="D964" s="90"/>
      <c r="E964" s="90"/>
      <c r="F964" s="90"/>
      <c r="G964" s="105"/>
      <c r="H964" s="90"/>
      <c r="I964" s="90"/>
    </row>
    <row r="965" spans="1:9" ht="24.75" customHeight="1" thickBot="1" x14ac:dyDescent="0.25">
      <c r="A965" s="90"/>
      <c r="B965" s="90"/>
      <c r="C965" s="90"/>
      <c r="D965" s="90"/>
      <c r="E965" s="90"/>
      <c r="F965" s="90"/>
      <c r="G965" s="105"/>
      <c r="H965" s="90"/>
      <c r="I965" s="90"/>
    </row>
    <row r="966" spans="1:9" ht="24.75" customHeight="1" thickBot="1" x14ac:dyDescent="0.25">
      <c r="A966" s="90"/>
      <c r="B966" s="90"/>
      <c r="C966" s="90"/>
      <c r="D966" s="90"/>
      <c r="E966" s="90"/>
      <c r="F966" s="90"/>
      <c r="G966" s="105"/>
      <c r="H966" s="90"/>
      <c r="I966" s="90"/>
    </row>
    <row r="967" spans="1:9" ht="24.75" customHeight="1" thickBot="1" x14ac:dyDescent="0.25">
      <c r="A967" s="90"/>
      <c r="B967" s="90"/>
      <c r="C967" s="90"/>
      <c r="D967" s="90"/>
      <c r="E967" s="90"/>
      <c r="F967" s="90"/>
      <c r="G967" s="105"/>
      <c r="H967" s="90"/>
      <c r="I967" s="90"/>
    </row>
    <row r="968" spans="1:9" ht="24.75" customHeight="1" thickBot="1" x14ac:dyDescent="0.25">
      <c r="A968" s="90"/>
      <c r="B968" s="90"/>
      <c r="C968" s="90"/>
      <c r="D968" s="90"/>
      <c r="E968" s="90"/>
      <c r="F968" s="90"/>
      <c r="G968" s="105"/>
      <c r="H968" s="90"/>
      <c r="I968" s="90"/>
    </row>
    <row r="969" spans="1:9" ht="24.75" customHeight="1" thickBot="1" x14ac:dyDescent="0.25">
      <c r="A969" s="90"/>
      <c r="B969" s="90"/>
      <c r="C969" s="90"/>
      <c r="D969" s="90"/>
      <c r="E969" s="90"/>
      <c r="F969" s="90"/>
      <c r="G969" s="105"/>
      <c r="H969" s="90"/>
      <c r="I969" s="90"/>
    </row>
    <row r="970" spans="1:9" ht="24.75" customHeight="1" thickBot="1" x14ac:dyDescent="0.25">
      <c r="A970" s="90"/>
      <c r="B970" s="90"/>
      <c r="C970" s="90"/>
      <c r="D970" s="90"/>
      <c r="E970" s="90"/>
      <c r="F970" s="90"/>
      <c r="G970" s="105"/>
      <c r="H970" s="90"/>
      <c r="I970" s="90"/>
    </row>
    <row r="971" spans="1:9" ht="24.75" customHeight="1" thickBot="1" x14ac:dyDescent="0.25">
      <c r="A971" s="90"/>
      <c r="B971" s="90"/>
      <c r="C971" s="90"/>
      <c r="D971" s="90"/>
      <c r="E971" s="90"/>
      <c r="F971" s="90"/>
      <c r="G971" s="105"/>
      <c r="H971" s="90"/>
      <c r="I971" s="90"/>
    </row>
    <row r="972" spans="1:9" ht="24.75" customHeight="1" thickBot="1" x14ac:dyDescent="0.25">
      <c r="A972" s="90"/>
      <c r="B972" s="90"/>
      <c r="C972" s="90"/>
      <c r="D972" s="90"/>
      <c r="E972" s="90"/>
      <c r="F972" s="90"/>
      <c r="G972" s="105"/>
      <c r="H972" s="90"/>
      <c r="I972" s="90"/>
    </row>
    <row r="973" spans="1:9" ht="24.75" customHeight="1" thickBot="1" x14ac:dyDescent="0.25">
      <c r="A973" s="90"/>
      <c r="B973" s="90"/>
      <c r="C973" s="90"/>
      <c r="D973" s="90"/>
      <c r="E973" s="90"/>
      <c r="F973" s="90"/>
      <c r="G973" s="105"/>
      <c r="H973" s="90"/>
      <c r="I973" s="90"/>
    </row>
    <row r="974" spans="1:9" ht="24.75" customHeight="1" thickBot="1" x14ac:dyDescent="0.25">
      <c r="A974" s="90"/>
      <c r="B974" s="90"/>
      <c r="C974" s="90"/>
      <c r="D974" s="90"/>
      <c r="E974" s="90"/>
      <c r="F974" s="90"/>
      <c r="G974" s="105"/>
      <c r="H974" s="90"/>
      <c r="I974" s="90"/>
    </row>
    <row r="975" spans="1:9" ht="24.75" customHeight="1" thickBot="1" x14ac:dyDescent="0.25">
      <c r="A975" s="90"/>
      <c r="B975" s="90"/>
      <c r="C975" s="90"/>
      <c r="D975" s="90"/>
      <c r="E975" s="90"/>
      <c r="F975" s="90"/>
      <c r="G975" s="105"/>
      <c r="H975" s="90"/>
      <c r="I975" s="90"/>
    </row>
    <row r="976" spans="1:9" ht="24.75" customHeight="1" thickBot="1" x14ac:dyDescent="0.25">
      <c r="A976" s="90"/>
      <c r="B976" s="90"/>
      <c r="C976" s="90"/>
      <c r="D976" s="90"/>
      <c r="E976" s="90"/>
      <c r="F976" s="90"/>
      <c r="G976" s="105"/>
      <c r="H976" s="90"/>
      <c r="I976" s="90"/>
    </row>
    <row r="977" spans="1:9" ht="24.75" customHeight="1" thickBot="1" x14ac:dyDescent="0.25">
      <c r="A977" s="90"/>
      <c r="B977" s="90"/>
      <c r="C977" s="90"/>
      <c r="D977" s="90"/>
      <c r="E977" s="90"/>
      <c r="F977" s="90"/>
      <c r="G977" s="105"/>
      <c r="H977" s="90"/>
      <c r="I977" s="90"/>
    </row>
    <row r="978" spans="1:9" ht="24.75" customHeight="1" thickBot="1" x14ac:dyDescent="0.25">
      <c r="A978" s="90"/>
      <c r="B978" s="90"/>
      <c r="C978" s="90"/>
      <c r="D978" s="90"/>
      <c r="E978" s="90"/>
      <c r="F978" s="90"/>
      <c r="G978" s="105"/>
      <c r="H978" s="90"/>
      <c r="I978" s="90"/>
    </row>
    <row r="979" spans="1:9" ht="24.75" customHeight="1" thickBot="1" x14ac:dyDescent="0.25">
      <c r="A979" s="90"/>
      <c r="B979" s="90"/>
      <c r="C979" s="90"/>
      <c r="D979" s="90"/>
      <c r="E979" s="90"/>
      <c r="F979" s="90"/>
      <c r="G979" s="105"/>
      <c r="H979" s="90"/>
      <c r="I979" s="90"/>
    </row>
    <row r="980" spans="1:9" ht="24.75" customHeight="1" thickBot="1" x14ac:dyDescent="0.25">
      <c r="A980" s="90"/>
      <c r="B980" s="90"/>
      <c r="C980" s="90"/>
      <c r="D980" s="90"/>
      <c r="E980" s="90"/>
      <c r="F980" s="90"/>
      <c r="G980" s="105"/>
      <c r="H980" s="90"/>
      <c r="I980" s="90"/>
    </row>
    <row r="981" spans="1:9" ht="24.75" customHeight="1" thickBot="1" x14ac:dyDescent="0.25">
      <c r="A981" s="90"/>
      <c r="B981" s="90"/>
      <c r="C981" s="90"/>
      <c r="D981" s="90"/>
      <c r="E981" s="90"/>
      <c r="F981" s="90"/>
      <c r="G981" s="105"/>
      <c r="H981" s="90"/>
      <c r="I981" s="90"/>
    </row>
    <row r="982" spans="1:9" ht="24.75" customHeight="1" thickBot="1" x14ac:dyDescent="0.25">
      <c r="A982" s="90"/>
      <c r="B982" s="90"/>
      <c r="C982" s="90"/>
      <c r="D982" s="90"/>
      <c r="E982" s="90"/>
      <c r="F982" s="90"/>
      <c r="G982" s="105"/>
      <c r="H982" s="90"/>
      <c r="I982" s="90"/>
    </row>
    <row r="983" spans="1:9" ht="24.75" customHeight="1" thickBot="1" x14ac:dyDescent="0.25">
      <c r="A983" s="90"/>
      <c r="B983" s="90"/>
      <c r="C983" s="90"/>
      <c r="D983" s="90"/>
      <c r="E983" s="90"/>
      <c r="F983" s="90"/>
      <c r="G983" s="105"/>
      <c r="H983" s="90"/>
      <c r="I983" s="90"/>
    </row>
    <row r="984" spans="1:9" ht="24.75" customHeight="1" thickBot="1" x14ac:dyDescent="0.25">
      <c r="A984" s="90"/>
      <c r="B984" s="90"/>
      <c r="C984" s="90"/>
      <c r="D984" s="90"/>
      <c r="E984" s="90"/>
      <c r="F984" s="90"/>
      <c r="G984" s="105"/>
      <c r="H984" s="90"/>
      <c r="I984" s="90"/>
    </row>
    <row r="985" spans="1:9" ht="24.75" customHeight="1" thickBot="1" x14ac:dyDescent="0.25">
      <c r="A985" s="90"/>
      <c r="B985" s="90"/>
      <c r="C985" s="90"/>
      <c r="D985" s="90"/>
      <c r="E985" s="90"/>
      <c r="F985" s="90"/>
      <c r="G985" s="105"/>
      <c r="H985" s="90"/>
      <c r="I985" s="90"/>
    </row>
    <row r="986" spans="1:9" ht="24.75" customHeight="1" thickBot="1" x14ac:dyDescent="0.25">
      <c r="A986" s="90"/>
      <c r="B986" s="90"/>
      <c r="C986" s="90"/>
      <c r="D986" s="90"/>
      <c r="E986" s="90"/>
      <c r="F986" s="90"/>
      <c r="G986" s="105"/>
      <c r="H986" s="90"/>
      <c r="I986" s="90"/>
    </row>
    <row r="987" spans="1:9" ht="24.75" customHeight="1" thickBot="1" x14ac:dyDescent="0.25">
      <c r="A987" s="90"/>
      <c r="B987" s="90"/>
      <c r="C987" s="90"/>
      <c r="D987" s="90"/>
      <c r="E987" s="90"/>
      <c r="F987" s="90"/>
      <c r="G987" s="105"/>
      <c r="H987" s="90"/>
      <c r="I987" s="90"/>
    </row>
    <row r="988" spans="1:9" ht="24.75" customHeight="1" thickBot="1" x14ac:dyDescent="0.25">
      <c r="A988" s="90"/>
      <c r="B988" s="90"/>
      <c r="C988" s="90"/>
      <c r="D988" s="90"/>
      <c r="E988" s="90"/>
      <c r="F988" s="90"/>
      <c r="G988" s="105"/>
      <c r="H988" s="90"/>
      <c r="I988" s="90"/>
    </row>
    <row r="989" spans="1:9" ht="24.75" customHeight="1" thickBot="1" x14ac:dyDescent="0.25">
      <c r="A989" s="90"/>
      <c r="B989" s="90"/>
      <c r="C989" s="90"/>
      <c r="D989" s="90"/>
      <c r="E989" s="90"/>
      <c r="F989" s="90"/>
      <c r="G989" s="105"/>
      <c r="H989" s="90"/>
      <c r="I989" s="90"/>
    </row>
    <row r="990" spans="1:9" ht="24.75" customHeight="1" thickBot="1" x14ac:dyDescent="0.25">
      <c r="A990" s="90"/>
      <c r="B990" s="90"/>
      <c r="C990" s="90"/>
      <c r="D990" s="90"/>
      <c r="E990" s="90"/>
      <c r="F990" s="90"/>
      <c r="G990" s="105"/>
      <c r="H990" s="90"/>
      <c r="I990" s="90"/>
    </row>
    <row r="991" spans="1:9" ht="24.75" customHeight="1" thickBot="1" x14ac:dyDescent="0.25">
      <c r="A991" s="90"/>
      <c r="B991" s="90"/>
      <c r="C991" s="90"/>
      <c r="D991" s="90"/>
      <c r="E991" s="90"/>
      <c r="F991" s="90"/>
      <c r="G991" s="105"/>
      <c r="H991" s="90"/>
      <c r="I991" s="90"/>
    </row>
    <row r="992" spans="1:9" ht="24.75" customHeight="1" thickBot="1" x14ac:dyDescent="0.25">
      <c r="A992" s="90"/>
      <c r="B992" s="90"/>
      <c r="C992" s="90"/>
      <c r="D992" s="90"/>
      <c r="E992" s="90"/>
      <c r="F992" s="90"/>
      <c r="G992" s="105"/>
      <c r="H992" s="90"/>
      <c r="I992" s="90"/>
    </row>
    <row r="993" spans="1:9" ht="24.75" customHeight="1" thickBot="1" x14ac:dyDescent="0.25">
      <c r="A993" s="90"/>
      <c r="B993" s="90"/>
      <c r="C993" s="90"/>
      <c r="D993" s="90"/>
      <c r="E993" s="90"/>
      <c r="F993" s="90"/>
      <c r="G993" s="105"/>
      <c r="H993" s="90"/>
      <c r="I993" s="90"/>
    </row>
    <row r="994" spans="1:9" ht="24.75" customHeight="1" thickBot="1" x14ac:dyDescent="0.25">
      <c r="A994" s="90"/>
      <c r="B994" s="90"/>
      <c r="C994" s="90"/>
      <c r="D994" s="90"/>
      <c r="E994" s="90"/>
      <c r="F994" s="90"/>
      <c r="G994" s="105"/>
      <c r="H994" s="90"/>
      <c r="I994" s="90"/>
    </row>
    <row r="995" spans="1:9" ht="24.75" customHeight="1" thickBot="1" x14ac:dyDescent="0.25">
      <c r="A995" s="90"/>
      <c r="B995" s="90"/>
      <c r="C995" s="90"/>
      <c r="D995" s="90"/>
      <c r="E995" s="90"/>
      <c r="F995" s="90"/>
      <c r="G995" s="105"/>
      <c r="H995" s="90"/>
      <c r="I995" s="90"/>
    </row>
    <row r="996" spans="1:9" ht="24.75" customHeight="1" thickBot="1" x14ac:dyDescent="0.25">
      <c r="A996" s="90"/>
      <c r="B996" s="90"/>
      <c r="C996" s="90"/>
      <c r="D996" s="90"/>
      <c r="E996" s="90"/>
      <c r="F996" s="90"/>
      <c r="G996" s="105"/>
      <c r="H996" s="90"/>
      <c r="I996" s="90"/>
    </row>
    <row r="997" spans="1:9" ht="24.75" customHeight="1" thickBot="1" x14ac:dyDescent="0.25">
      <c r="A997" s="90"/>
      <c r="B997" s="90"/>
      <c r="C997" s="90"/>
      <c r="D997" s="90"/>
      <c r="E997" s="90"/>
      <c r="F997" s="90"/>
      <c r="G997" s="105"/>
      <c r="H997" s="90"/>
      <c r="I997" s="90"/>
    </row>
    <row r="998" spans="1:9" ht="24.75" customHeight="1" thickBot="1" x14ac:dyDescent="0.25">
      <c r="A998" s="90"/>
      <c r="B998" s="90"/>
      <c r="C998" s="90"/>
      <c r="D998" s="90"/>
      <c r="E998" s="90"/>
      <c r="F998" s="90"/>
      <c r="G998" s="105"/>
      <c r="H998" s="90"/>
      <c r="I998" s="90"/>
    </row>
    <row r="999" spans="1:9" ht="24.75" customHeight="1" thickBot="1" x14ac:dyDescent="0.25">
      <c r="A999" s="90"/>
      <c r="B999" s="90"/>
      <c r="C999" s="90"/>
      <c r="D999" s="90"/>
      <c r="E999" s="90"/>
      <c r="F999" s="90"/>
      <c r="G999" s="105"/>
      <c r="H999" s="90"/>
      <c r="I999" s="90"/>
    </row>
    <row r="1000" spans="1:9" ht="24.75" customHeight="1" thickBot="1" x14ac:dyDescent="0.25">
      <c r="A1000" s="90"/>
      <c r="B1000" s="90"/>
      <c r="C1000" s="90"/>
      <c r="D1000" s="90"/>
      <c r="E1000" s="90"/>
      <c r="F1000" s="90"/>
      <c r="G1000" s="105"/>
      <c r="H1000" s="90"/>
      <c r="I1000" s="90"/>
    </row>
    <row r="1001" spans="1:9" ht="24.75" customHeight="1" thickBot="1" x14ac:dyDescent="0.25">
      <c r="A1001" s="90"/>
      <c r="B1001" s="90"/>
      <c r="C1001" s="90"/>
      <c r="D1001" s="90"/>
      <c r="E1001" s="90"/>
      <c r="F1001" s="90"/>
      <c r="G1001" s="105"/>
      <c r="H1001" s="90"/>
      <c r="I1001" s="90"/>
    </row>
    <row r="1002" spans="1:9" ht="24.75" customHeight="1" thickBot="1" x14ac:dyDescent="0.25">
      <c r="A1002" s="90"/>
      <c r="B1002" s="90"/>
      <c r="C1002" s="90"/>
      <c r="D1002" s="90"/>
      <c r="E1002" s="90"/>
      <c r="F1002" s="90"/>
      <c r="G1002" s="105"/>
      <c r="H1002" s="90"/>
      <c r="I1002" s="90"/>
    </row>
    <row r="1003" spans="1:9" ht="24.75" customHeight="1" thickBot="1" x14ac:dyDescent="0.25">
      <c r="A1003" s="90"/>
      <c r="B1003" s="90"/>
      <c r="C1003" s="90"/>
      <c r="D1003" s="90"/>
      <c r="E1003" s="90"/>
      <c r="F1003" s="90"/>
      <c r="G1003" s="105"/>
      <c r="H1003" s="90"/>
      <c r="I1003" s="90"/>
    </row>
    <row r="1004" spans="1:9" ht="24.75" customHeight="1" thickBot="1" x14ac:dyDescent="0.25">
      <c r="A1004" s="90"/>
      <c r="B1004" s="90"/>
      <c r="C1004" s="90"/>
      <c r="D1004" s="90"/>
      <c r="E1004" s="90"/>
      <c r="F1004" s="90"/>
      <c r="G1004" s="105"/>
      <c r="H1004" s="90"/>
      <c r="I1004" s="90"/>
    </row>
    <row r="1005" spans="1:9" ht="24.75" customHeight="1" thickBot="1" x14ac:dyDescent="0.25">
      <c r="A1005" s="90"/>
      <c r="B1005" s="90"/>
      <c r="C1005" s="90"/>
      <c r="D1005" s="90"/>
      <c r="E1005" s="90"/>
      <c r="F1005" s="90"/>
      <c r="G1005" s="105"/>
      <c r="H1005" s="90"/>
      <c r="I1005" s="90"/>
    </row>
    <row r="1006" spans="1:9" ht="24.75" customHeight="1" thickBot="1" x14ac:dyDescent="0.25">
      <c r="A1006" s="90"/>
      <c r="B1006" s="90"/>
      <c r="C1006" s="90"/>
      <c r="D1006" s="90"/>
      <c r="E1006" s="90"/>
      <c r="F1006" s="90"/>
      <c r="G1006" s="105"/>
      <c r="H1006" s="90"/>
      <c r="I1006" s="90"/>
    </row>
    <row r="1007" spans="1:9" ht="24.75" customHeight="1" thickBot="1" x14ac:dyDescent="0.25">
      <c r="A1007" s="90"/>
      <c r="B1007" s="90"/>
      <c r="C1007" s="90"/>
      <c r="D1007" s="90"/>
      <c r="E1007" s="90"/>
      <c r="F1007" s="90"/>
      <c r="G1007" s="105"/>
      <c r="H1007" s="90"/>
      <c r="I1007" s="90"/>
    </row>
    <row r="1008" spans="1:9" ht="24.75" customHeight="1" thickBot="1" x14ac:dyDescent="0.25">
      <c r="A1008" s="90"/>
      <c r="B1008" s="90"/>
      <c r="C1008" s="90"/>
      <c r="D1008" s="90"/>
      <c r="E1008" s="90"/>
      <c r="F1008" s="90"/>
      <c r="G1008" s="105"/>
      <c r="H1008" s="90"/>
      <c r="I1008" s="90"/>
    </row>
    <row r="1009" spans="1:9" ht="24.75" customHeight="1" thickBot="1" x14ac:dyDescent="0.25">
      <c r="A1009" s="90"/>
      <c r="B1009" s="90"/>
      <c r="C1009" s="90"/>
      <c r="D1009" s="90"/>
      <c r="E1009" s="90"/>
      <c r="F1009" s="90"/>
      <c r="G1009" s="105"/>
      <c r="H1009" s="90"/>
      <c r="I1009" s="90"/>
    </row>
    <row r="1010" spans="1:9" ht="24.75" customHeight="1" thickBot="1" x14ac:dyDescent="0.25">
      <c r="A1010" s="90"/>
      <c r="B1010" s="90"/>
      <c r="C1010" s="90"/>
      <c r="D1010" s="90"/>
      <c r="E1010" s="90"/>
      <c r="F1010" s="90"/>
      <c r="G1010" s="105"/>
      <c r="H1010" s="90"/>
      <c r="I1010" s="90"/>
    </row>
    <row r="1011" spans="1:9" ht="24.75" customHeight="1" thickBot="1" x14ac:dyDescent="0.25">
      <c r="A1011" s="90"/>
      <c r="B1011" s="90"/>
      <c r="C1011" s="90"/>
      <c r="D1011" s="90"/>
      <c r="E1011" s="90"/>
      <c r="F1011" s="90"/>
      <c r="G1011" s="105"/>
      <c r="H1011" s="90"/>
      <c r="I1011" s="90"/>
    </row>
    <row r="1012" spans="1:9" ht="24.75" customHeight="1" thickBot="1" x14ac:dyDescent="0.25">
      <c r="A1012" s="90"/>
      <c r="B1012" s="90"/>
      <c r="C1012" s="90"/>
      <c r="D1012" s="90"/>
      <c r="E1012" s="90"/>
      <c r="F1012" s="90"/>
      <c r="G1012" s="105"/>
      <c r="H1012" s="90"/>
      <c r="I1012" s="90"/>
    </row>
    <row r="1013" spans="1:9" ht="24.75" customHeight="1" thickBot="1" x14ac:dyDescent="0.25">
      <c r="A1013" s="90"/>
      <c r="B1013" s="90"/>
      <c r="C1013" s="90"/>
      <c r="D1013" s="90"/>
      <c r="E1013" s="90"/>
      <c r="F1013" s="90"/>
      <c r="G1013" s="105"/>
      <c r="H1013" s="90"/>
      <c r="I1013" s="90"/>
    </row>
    <row r="1014" spans="1:9" ht="24.75" customHeight="1" thickBot="1" x14ac:dyDescent="0.25">
      <c r="A1014" s="90"/>
      <c r="B1014" s="90"/>
      <c r="C1014" s="90"/>
      <c r="D1014" s="90"/>
      <c r="E1014" s="90"/>
      <c r="F1014" s="90"/>
      <c r="G1014" s="105"/>
      <c r="H1014" s="90"/>
      <c r="I1014" s="90"/>
    </row>
    <row r="1015" spans="1:9" ht="24.75" customHeight="1" thickBot="1" x14ac:dyDescent="0.25">
      <c r="A1015" s="90"/>
      <c r="B1015" s="90"/>
      <c r="C1015" s="90"/>
      <c r="D1015" s="90"/>
      <c r="E1015" s="90"/>
      <c r="F1015" s="90"/>
      <c r="G1015" s="105"/>
      <c r="H1015" s="90"/>
      <c r="I1015" s="90"/>
    </row>
    <row r="1016" spans="1:9" ht="24.75" customHeight="1" thickBot="1" x14ac:dyDescent="0.25">
      <c r="A1016" s="90"/>
      <c r="B1016" s="90"/>
      <c r="C1016" s="90"/>
      <c r="D1016" s="90"/>
      <c r="E1016" s="90"/>
      <c r="F1016" s="90"/>
      <c r="G1016" s="105"/>
      <c r="H1016" s="90"/>
      <c r="I1016" s="90"/>
    </row>
    <row r="1017" spans="1:9" ht="24.75" customHeight="1" thickBot="1" x14ac:dyDescent="0.25">
      <c r="A1017" s="90"/>
      <c r="B1017" s="90"/>
      <c r="C1017" s="90"/>
      <c r="D1017" s="90"/>
      <c r="E1017" s="90"/>
      <c r="F1017" s="90"/>
      <c r="G1017" s="105"/>
      <c r="H1017" s="90"/>
      <c r="I1017" s="90"/>
    </row>
    <row r="1018" spans="1:9" ht="24.75" customHeight="1" thickBot="1" x14ac:dyDescent="0.25">
      <c r="A1018" s="90"/>
      <c r="B1018" s="90"/>
      <c r="C1018" s="90"/>
      <c r="D1018" s="90"/>
      <c r="E1018" s="90"/>
      <c r="F1018" s="90"/>
      <c r="G1018" s="105"/>
      <c r="H1018" s="90"/>
      <c r="I1018" s="90"/>
    </row>
    <row r="1019" spans="1:9" ht="24.75" customHeight="1" thickBot="1" x14ac:dyDescent="0.25">
      <c r="A1019" s="90"/>
      <c r="B1019" s="90"/>
      <c r="C1019" s="90"/>
      <c r="D1019" s="90"/>
      <c r="E1019" s="90"/>
      <c r="F1019" s="90"/>
      <c r="G1019" s="105"/>
      <c r="H1019" s="90"/>
      <c r="I1019" s="90"/>
    </row>
    <row r="1020" spans="1:9" ht="24.75" customHeight="1" thickBot="1" x14ac:dyDescent="0.25">
      <c r="A1020" s="90"/>
      <c r="B1020" s="90"/>
      <c r="C1020" s="90"/>
      <c r="D1020" s="90"/>
      <c r="E1020" s="90"/>
      <c r="F1020" s="90"/>
      <c r="G1020" s="105"/>
      <c r="H1020" s="90"/>
      <c r="I1020" s="90"/>
    </row>
    <row r="1021" spans="1:9" ht="24.75" customHeight="1" thickBot="1" x14ac:dyDescent="0.25">
      <c r="A1021" s="90"/>
      <c r="B1021" s="90"/>
      <c r="C1021" s="90"/>
      <c r="D1021" s="90"/>
      <c r="E1021" s="90"/>
      <c r="F1021" s="90"/>
      <c r="G1021" s="105"/>
      <c r="H1021" s="90"/>
      <c r="I1021" s="90"/>
    </row>
    <row r="1022" spans="1:9" ht="24.75" customHeight="1" thickBot="1" x14ac:dyDescent="0.25">
      <c r="A1022" s="90"/>
      <c r="B1022" s="90"/>
      <c r="C1022" s="90"/>
      <c r="D1022" s="90"/>
      <c r="E1022" s="90"/>
      <c r="F1022" s="90"/>
      <c r="G1022" s="105"/>
      <c r="H1022" s="90"/>
      <c r="I1022" s="90"/>
    </row>
    <row r="1023" spans="1:9" ht="24.75" customHeight="1" thickBot="1" x14ac:dyDescent="0.25">
      <c r="A1023" s="90"/>
      <c r="B1023" s="90"/>
      <c r="C1023" s="90"/>
      <c r="D1023" s="90"/>
      <c r="E1023" s="90"/>
      <c r="F1023" s="90"/>
      <c r="G1023" s="105"/>
      <c r="H1023" s="90"/>
      <c r="I1023" s="90"/>
    </row>
    <row r="1024" spans="1:9" ht="24.75" customHeight="1" thickBot="1" x14ac:dyDescent="0.25">
      <c r="A1024" s="90"/>
      <c r="B1024" s="90"/>
      <c r="C1024" s="90"/>
      <c r="D1024" s="90"/>
      <c r="E1024" s="90"/>
      <c r="F1024" s="90"/>
      <c r="G1024" s="105"/>
      <c r="H1024" s="90"/>
      <c r="I1024" s="90"/>
    </row>
    <row r="1025" spans="1:9" ht="24.75" customHeight="1" thickBot="1" x14ac:dyDescent="0.25">
      <c r="A1025" s="90"/>
      <c r="B1025" s="90"/>
      <c r="C1025" s="90"/>
      <c r="D1025" s="90"/>
      <c r="E1025" s="90"/>
      <c r="F1025" s="90"/>
      <c r="G1025" s="105"/>
      <c r="H1025" s="90"/>
      <c r="I1025" s="90"/>
    </row>
    <row r="1026" spans="1:9" ht="24.75" customHeight="1" thickBot="1" x14ac:dyDescent="0.25">
      <c r="A1026" s="90"/>
      <c r="B1026" s="90"/>
      <c r="C1026" s="90"/>
      <c r="D1026" s="90"/>
      <c r="E1026" s="90"/>
      <c r="F1026" s="90"/>
      <c r="G1026" s="105"/>
      <c r="H1026" s="90"/>
      <c r="I1026" s="90"/>
    </row>
    <row r="1027" spans="1:9" ht="24.75" customHeight="1" thickBot="1" x14ac:dyDescent="0.25">
      <c r="A1027" s="90"/>
      <c r="B1027" s="90"/>
      <c r="C1027" s="90"/>
      <c r="D1027" s="90"/>
      <c r="E1027" s="90"/>
      <c r="F1027" s="90"/>
      <c r="G1027" s="105"/>
      <c r="H1027" s="90"/>
      <c r="I1027" s="90"/>
    </row>
    <row r="1028" spans="1:9" ht="24.75" customHeight="1" thickBot="1" x14ac:dyDescent="0.25">
      <c r="A1028" s="90"/>
      <c r="B1028" s="90"/>
      <c r="C1028" s="90"/>
      <c r="D1028" s="90"/>
      <c r="E1028" s="90"/>
      <c r="F1028" s="90"/>
      <c r="G1028" s="105"/>
      <c r="H1028" s="90"/>
      <c r="I1028" s="90"/>
    </row>
    <row r="1029" spans="1:9" ht="24.75" customHeight="1" thickBot="1" x14ac:dyDescent="0.25">
      <c r="A1029" s="90"/>
      <c r="B1029" s="90"/>
      <c r="C1029" s="90"/>
      <c r="D1029" s="90"/>
      <c r="E1029" s="90"/>
      <c r="F1029" s="90"/>
      <c r="G1029" s="105"/>
      <c r="H1029" s="90"/>
      <c r="I1029" s="90"/>
    </row>
    <row r="1030" spans="1:9" ht="24.75" customHeight="1" thickBot="1" x14ac:dyDescent="0.25">
      <c r="A1030" s="90"/>
      <c r="B1030" s="90"/>
      <c r="C1030" s="90"/>
      <c r="D1030" s="90"/>
      <c r="E1030" s="90"/>
      <c r="F1030" s="90"/>
      <c r="G1030" s="105"/>
      <c r="H1030" s="90"/>
      <c r="I1030" s="90"/>
    </row>
    <row r="1031" spans="1:9" ht="24.75" customHeight="1" thickBot="1" x14ac:dyDescent="0.25">
      <c r="A1031" s="90"/>
      <c r="B1031" s="90"/>
      <c r="C1031" s="90"/>
      <c r="D1031" s="90"/>
      <c r="E1031" s="90"/>
      <c r="F1031" s="90"/>
      <c r="G1031" s="105"/>
      <c r="H1031" s="90"/>
      <c r="I1031" s="90"/>
    </row>
    <row r="1032" spans="1:9" ht="24.75" customHeight="1" thickBot="1" x14ac:dyDescent="0.25">
      <c r="A1032" s="90"/>
      <c r="B1032" s="90"/>
      <c r="C1032" s="90"/>
      <c r="D1032" s="90"/>
      <c r="E1032" s="90"/>
      <c r="F1032" s="90"/>
      <c r="G1032" s="105"/>
      <c r="H1032" s="90"/>
      <c r="I1032" s="90"/>
    </row>
    <row r="1033" spans="1:9" ht="24.75" customHeight="1" thickBot="1" x14ac:dyDescent="0.25">
      <c r="A1033" s="90"/>
      <c r="B1033" s="90"/>
      <c r="C1033" s="90"/>
      <c r="D1033" s="90"/>
      <c r="E1033" s="90"/>
      <c r="F1033" s="90"/>
      <c r="G1033" s="105"/>
      <c r="H1033" s="90"/>
      <c r="I1033" s="90"/>
    </row>
    <row r="1034" spans="1:9" ht="24.75" customHeight="1" thickBot="1" x14ac:dyDescent="0.25">
      <c r="A1034" s="90"/>
      <c r="B1034" s="90"/>
      <c r="C1034" s="90"/>
      <c r="D1034" s="90"/>
      <c r="E1034" s="90"/>
      <c r="F1034" s="90"/>
      <c r="G1034" s="105"/>
      <c r="H1034" s="90"/>
      <c r="I1034" s="90"/>
    </row>
    <row r="1035" spans="1:9" ht="24.75" customHeight="1" thickBot="1" x14ac:dyDescent="0.25">
      <c r="A1035" s="90"/>
      <c r="B1035" s="90"/>
      <c r="C1035" s="90"/>
      <c r="D1035" s="90"/>
      <c r="E1035" s="90"/>
      <c r="F1035" s="90"/>
      <c r="G1035" s="105"/>
      <c r="H1035" s="90"/>
      <c r="I1035" s="90"/>
    </row>
    <row r="1036" spans="1:9" ht="24.75" customHeight="1" thickBot="1" x14ac:dyDescent="0.25">
      <c r="A1036" s="90"/>
      <c r="B1036" s="90"/>
      <c r="C1036" s="90"/>
      <c r="D1036" s="90"/>
      <c r="E1036" s="90"/>
      <c r="F1036" s="90"/>
      <c r="G1036" s="105"/>
      <c r="H1036" s="90"/>
      <c r="I1036" s="90"/>
    </row>
    <row r="1037" spans="1:9" ht="24.75" customHeight="1" thickBot="1" x14ac:dyDescent="0.25">
      <c r="A1037" s="90"/>
      <c r="B1037" s="90"/>
      <c r="C1037" s="90"/>
      <c r="D1037" s="90"/>
      <c r="E1037" s="90"/>
      <c r="F1037" s="90"/>
      <c r="G1037" s="105"/>
      <c r="H1037" s="90"/>
      <c r="I1037" s="90"/>
    </row>
    <row r="1038" spans="1:9" ht="24.75" customHeight="1" thickBot="1" x14ac:dyDescent="0.25">
      <c r="A1038" s="90"/>
      <c r="B1038" s="90"/>
      <c r="C1038" s="90"/>
      <c r="D1038" s="90"/>
      <c r="E1038" s="90"/>
      <c r="F1038" s="90"/>
      <c r="G1038" s="105"/>
      <c r="H1038" s="90"/>
      <c r="I1038" s="90"/>
    </row>
    <row r="1039" spans="1:9" ht="24.75" customHeight="1" thickBot="1" x14ac:dyDescent="0.25">
      <c r="A1039" s="90"/>
      <c r="B1039" s="90"/>
      <c r="C1039" s="90"/>
      <c r="D1039" s="90"/>
      <c r="E1039" s="90"/>
      <c r="F1039" s="90"/>
      <c r="G1039" s="105"/>
      <c r="H1039" s="90"/>
      <c r="I1039" s="90"/>
    </row>
    <row r="1040" spans="1:9" ht="24.75" customHeight="1" thickBot="1" x14ac:dyDescent="0.25">
      <c r="A1040" s="90"/>
      <c r="B1040" s="90"/>
      <c r="C1040" s="90"/>
      <c r="D1040" s="90"/>
      <c r="E1040" s="90"/>
      <c r="F1040" s="90"/>
      <c r="G1040" s="105"/>
      <c r="H1040" s="90"/>
      <c r="I1040" s="90"/>
    </row>
    <row r="1041" spans="1:9" ht="24.75" customHeight="1" thickBot="1" x14ac:dyDescent="0.25">
      <c r="A1041" s="90"/>
      <c r="B1041" s="90"/>
      <c r="C1041" s="90"/>
      <c r="D1041" s="90"/>
      <c r="E1041" s="90"/>
      <c r="F1041" s="90"/>
      <c r="G1041" s="105"/>
      <c r="H1041" s="90"/>
      <c r="I1041" s="90"/>
    </row>
    <row r="1042" spans="1:9" ht="24.75" customHeight="1" thickBot="1" x14ac:dyDescent="0.25">
      <c r="A1042" s="90"/>
      <c r="B1042" s="90"/>
      <c r="C1042" s="90"/>
      <c r="D1042" s="90"/>
      <c r="E1042" s="90"/>
      <c r="F1042" s="90"/>
      <c r="G1042" s="105"/>
      <c r="H1042" s="90"/>
      <c r="I1042" s="90"/>
    </row>
    <row r="1043" spans="1:9" ht="24.75" customHeight="1" thickBot="1" x14ac:dyDescent="0.25">
      <c r="A1043" s="90"/>
      <c r="B1043" s="90"/>
      <c r="C1043" s="90"/>
      <c r="D1043" s="90"/>
      <c r="E1043" s="90"/>
      <c r="F1043" s="90"/>
      <c r="G1043" s="105"/>
      <c r="H1043" s="90"/>
      <c r="I1043" s="90"/>
    </row>
    <row r="1044" spans="1:9" ht="24.75" customHeight="1" thickBot="1" x14ac:dyDescent="0.25">
      <c r="A1044" s="90"/>
      <c r="B1044" s="90"/>
      <c r="C1044" s="90"/>
      <c r="D1044" s="90"/>
      <c r="E1044" s="90"/>
      <c r="F1044" s="90"/>
      <c r="G1044" s="105"/>
      <c r="H1044" s="90"/>
      <c r="I1044" s="90"/>
    </row>
    <row r="1045" spans="1:9" ht="24.75" customHeight="1" thickBot="1" x14ac:dyDescent="0.25">
      <c r="A1045" s="90"/>
      <c r="B1045" s="90"/>
      <c r="C1045" s="90"/>
      <c r="D1045" s="90"/>
      <c r="E1045" s="90"/>
      <c r="F1045" s="90"/>
      <c r="G1045" s="105"/>
      <c r="H1045" s="90"/>
      <c r="I1045" s="90"/>
    </row>
    <row r="1046" spans="1:9" ht="24.75" customHeight="1" thickBot="1" x14ac:dyDescent="0.25">
      <c r="A1046" s="90"/>
      <c r="B1046" s="90"/>
      <c r="C1046" s="90"/>
      <c r="D1046" s="90"/>
      <c r="E1046" s="90"/>
      <c r="F1046" s="90"/>
      <c r="G1046" s="105"/>
      <c r="H1046" s="90"/>
      <c r="I1046" s="90"/>
    </row>
    <row r="1047" spans="1:9" ht="24.75" customHeight="1" thickBot="1" x14ac:dyDescent="0.25">
      <c r="A1047" s="90"/>
      <c r="B1047" s="90"/>
      <c r="C1047" s="90"/>
      <c r="D1047" s="90"/>
      <c r="E1047" s="90"/>
      <c r="F1047" s="90"/>
      <c r="G1047" s="105"/>
      <c r="H1047" s="90"/>
      <c r="I1047" s="90"/>
    </row>
    <row r="1048" spans="1:9" ht="24.75" customHeight="1" thickBot="1" x14ac:dyDescent="0.25">
      <c r="A1048" s="90"/>
      <c r="B1048" s="90"/>
      <c r="C1048" s="90"/>
      <c r="D1048" s="90"/>
      <c r="E1048" s="90"/>
      <c r="F1048" s="90"/>
      <c r="G1048" s="105"/>
      <c r="H1048" s="90"/>
      <c r="I1048" s="90"/>
    </row>
    <row r="1049" spans="1:9" ht="24.75" customHeight="1" thickBot="1" x14ac:dyDescent="0.25">
      <c r="A1049" s="90"/>
      <c r="B1049" s="90"/>
      <c r="C1049" s="90"/>
      <c r="D1049" s="90"/>
      <c r="E1049" s="90"/>
      <c r="F1049" s="90"/>
      <c r="G1049" s="105"/>
      <c r="H1049" s="90"/>
      <c r="I1049" s="90"/>
    </row>
    <row r="1050" spans="1:9" ht="24.75" customHeight="1" thickBot="1" x14ac:dyDescent="0.25">
      <c r="A1050" s="90"/>
      <c r="B1050" s="90"/>
      <c r="C1050" s="90"/>
      <c r="D1050" s="90"/>
      <c r="E1050" s="90"/>
      <c r="F1050" s="90"/>
      <c r="G1050" s="105"/>
      <c r="H1050" s="90"/>
      <c r="I1050" s="90"/>
    </row>
    <row r="1051" spans="1:9" ht="24.75" customHeight="1" thickBot="1" x14ac:dyDescent="0.25">
      <c r="A1051" s="90"/>
      <c r="B1051" s="90"/>
      <c r="C1051" s="90"/>
      <c r="D1051" s="90"/>
      <c r="E1051" s="90"/>
      <c r="F1051" s="90"/>
      <c r="G1051" s="105"/>
      <c r="H1051" s="90"/>
      <c r="I1051" s="90"/>
    </row>
    <row r="1052" spans="1:9" ht="24.75" customHeight="1" thickBot="1" x14ac:dyDescent="0.25">
      <c r="A1052" s="90"/>
      <c r="B1052" s="90"/>
      <c r="C1052" s="90"/>
      <c r="D1052" s="90"/>
      <c r="E1052" s="90"/>
      <c r="F1052" s="90"/>
      <c r="G1052" s="105"/>
      <c r="H1052" s="90"/>
      <c r="I1052" s="90"/>
    </row>
    <row r="1053" spans="1:9" ht="24.75" customHeight="1" thickBot="1" x14ac:dyDescent="0.25">
      <c r="A1053" s="90"/>
      <c r="B1053" s="90"/>
      <c r="C1053" s="90"/>
      <c r="D1053" s="90"/>
      <c r="E1053" s="90"/>
      <c r="F1053" s="90"/>
      <c r="G1053" s="105"/>
      <c r="H1053" s="90"/>
      <c r="I1053" s="90"/>
    </row>
    <row r="1054" spans="1:9" ht="24.75" customHeight="1" thickBot="1" x14ac:dyDescent="0.25">
      <c r="A1054" s="90"/>
      <c r="B1054" s="90"/>
      <c r="C1054" s="90"/>
      <c r="D1054" s="90"/>
      <c r="E1054" s="90"/>
      <c r="F1054" s="90"/>
      <c r="G1054" s="105"/>
      <c r="H1054" s="90"/>
      <c r="I1054" s="90"/>
    </row>
    <row r="1055" spans="1:9" ht="24.75" customHeight="1" thickBot="1" x14ac:dyDescent="0.25">
      <c r="A1055" s="90"/>
      <c r="B1055" s="90"/>
      <c r="C1055" s="90"/>
      <c r="D1055" s="90"/>
      <c r="E1055" s="90"/>
      <c r="F1055" s="90"/>
      <c r="G1055" s="105"/>
      <c r="H1055" s="90"/>
      <c r="I1055" s="90"/>
    </row>
    <row r="1056" spans="1:9" ht="24.75" customHeight="1" thickBot="1" x14ac:dyDescent="0.25">
      <c r="A1056" s="90"/>
      <c r="B1056" s="90"/>
      <c r="C1056" s="90"/>
      <c r="D1056" s="90"/>
      <c r="E1056" s="90"/>
      <c r="F1056" s="90"/>
      <c r="G1056" s="105"/>
      <c r="H1056" s="90"/>
      <c r="I1056" s="90"/>
    </row>
    <row r="1057" spans="1:9" ht="24.75" customHeight="1" thickBot="1" x14ac:dyDescent="0.25">
      <c r="A1057" s="90"/>
      <c r="B1057" s="90"/>
      <c r="C1057" s="90"/>
      <c r="D1057" s="90"/>
      <c r="E1057" s="90"/>
      <c r="F1057" s="90"/>
      <c r="G1057" s="105"/>
      <c r="H1057" s="90"/>
      <c r="I1057" s="90"/>
    </row>
    <row r="1058" spans="1:9" ht="24.75" customHeight="1" thickBot="1" x14ac:dyDescent="0.25">
      <c r="A1058" s="90"/>
      <c r="B1058" s="90"/>
      <c r="C1058" s="90"/>
      <c r="D1058" s="90"/>
      <c r="E1058" s="90"/>
      <c r="F1058" s="90"/>
      <c r="G1058" s="105"/>
      <c r="H1058" s="90"/>
      <c r="I1058" s="90"/>
    </row>
    <row r="1059" spans="1:9" ht="24.75" customHeight="1" thickBot="1" x14ac:dyDescent="0.25">
      <c r="A1059" s="90"/>
      <c r="B1059" s="90"/>
      <c r="C1059" s="90"/>
      <c r="D1059" s="90"/>
      <c r="E1059" s="90"/>
      <c r="F1059" s="90"/>
      <c r="G1059" s="105"/>
      <c r="H1059" s="90"/>
      <c r="I1059" s="90"/>
    </row>
    <row r="1060" spans="1:9" ht="24.75" customHeight="1" thickBot="1" x14ac:dyDescent="0.25">
      <c r="A1060" s="90"/>
      <c r="B1060" s="90"/>
      <c r="C1060" s="90"/>
      <c r="D1060" s="90"/>
      <c r="E1060" s="90"/>
      <c r="F1060" s="90"/>
      <c r="G1060" s="105"/>
      <c r="H1060" s="90"/>
      <c r="I1060" s="90"/>
    </row>
    <row r="1061" spans="1:9" ht="24.75" customHeight="1" thickBot="1" x14ac:dyDescent="0.25">
      <c r="A1061" s="90"/>
      <c r="B1061" s="90"/>
      <c r="C1061" s="90"/>
      <c r="D1061" s="90"/>
      <c r="E1061" s="90"/>
      <c r="F1061" s="90"/>
      <c r="G1061" s="105"/>
      <c r="H1061" s="90"/>
      <c r="I1061" s="90"/>
    </row>
    <row r="1062" spans="1:9" ht="24.75" customHeight="1" thickBot="1" x14ac:dyDescent="0.25">
      <c r="A1062" s="90"/>
      <c r="B1062" s="90"/>
      <c r="C1062" s="90"/>
      <c r="D1062" s="90"/>
      <c r="E1062" s="90"/>
      <c r="F1062" s="90"/>
      <c r="G1062" s="105"/>
      <c r="H1062" s="90"/>
      <c r="I1062" s="90"/>
    </row>
    <row r="1063" spans="1:9" ht="24.75" customHeight="1" thickBot="1" x14ac:dyDescent="0.25">
      <c r="A1063" s="90"/>
      <c r="B1063" s="90"/>
      <c r="C1063" s="90"/>
      <c r="D1063" s="90"/>
      <c r="E1063" s="90"/>
      <c r="F1063" s="90"/>
      <c r="G1063" s="105"/>
      <c r="H1063" s="90"/>
      <c r="I1063" s="90"/>
    </row>
    <row r="1064" spans="1:9" ht="24.75" customHeight="1" thickBot="1" x14ac:dyDescent="0.25">
      <c r="A1064" s="90"/>
      <c r="B1064" s="90"/>
      <c r="C1064" s="90"/>
      <c r="D1064" s="90"/>
      <c r="E1064" s="90"/>
      <c r="F1064" s="90"/>
      <c r="G1064" s="105"/>
      <c r="H1064" s="90"/>
      <c r="I1064" s="90"/>
    </row>
    <row r="1065" spans="1:9" ht="24.75" customHeight="1" thickBot="1" x14ac:dyDescent="0.25">
      <c r="A1065" s="90"/>
      <c r="B1065" s="90"/>
      <c r="C1065" s="90"/>
      <c r="D1065" s="90"/>
      <c r="E1065" s="90"/>
      <c r="F1065" s="90"/>
      <c r="G1065" s="105"/>
      <c r="H1065" s="90"/>
      <c r="I1065" s="90"/>
    </row>
    <row r="1066" spans="1:9" ht="24.75" customHeight="1" thickBot="1" x14ac:dyDescent="0.25">
      <c r="A1066" s="90"/>
      <c r="B1066" s="90"/>
      <c r="C1066" s="90"/>
      <c r="D1066" s="90"/>
      <c r="E1066" s="90"/>
      <c r="F1066" s="90"/>
      <c r="G1066" s="105"/>
      <c r="H1066" s="90"/>
      <c r="I1066" s="90"/>
    </row>
    <row r="1067" spans="1:9" ht="24.75" customHeight="1" thickBot="1" x14ac:dyDescent="0.25">
      <c r="A1067" s="90"/>
      <c r="B1067" s="90"/>
      <c r="C1067" s="90"/>
      <c r="D1067" s="90"/>
      <c r="E1067" s="90"/>
      <c r="F1067" s="90"/>
      <c r="G1067" s="105"/>
      <c r="H1067" s="90"/>
      <c r="I1067" s="90"/>
    </row>
    <row r="1068" spans="1:9" ht="24.75" customHeight="1" thickBot="1" x14ac:dyDescent="0.25">
      <c r="A1068" s="90"/>
      <c r="B1068" s="90"/>
      <c r="C1068" s="90"/>
      <c r="D1068" s="90"/>
      <c r="E1068" s="90"/>
      <c r="F1068" s="90"/>
      <c r="G1068" s="105"/>
      <c r="H1068" s="90"/>
      <c r="I1068" s="90"/>
    </row>
    <row r="1069" spans="1:9" ht="24.75" customHeight="1" thickBot="1" x14ac:dyDescent="0.25">
      <c r="A1069" s="90"/>
      <c r="B1069" s="90"/>
      <c r="C1069" s="90"/>
      <c r="D1069" s="90"/>
      <c r="E1069" s="90"/>
      <c r="F1069" s="90"/>
      <c r="G1069" s="105"/>
      <c r="H1069" s="90"/>
      <c r="I1069" s="90"/>
    </row>
    <row r="1070" spans="1:9" ht="24.75" customHeight="1" thickBot="1" x14ac:dyDescent="0.25">
      <c r="A1070" s="90"/>
      <c r="B1070" s="90"/>
      <c r="C1070" s="90"/>
      <c r="D1070" s="90"/>
      <c r="E1070" s="90"/>
      <c r="F1070" s="90"/>
      <c r="G1070" s="105"/>
      <c r="H1070" s="90"/>
      <c r="I1070" s="90"/>
    </row>
    <row r="1071" spans="1:9" ht="24.75" customHeight="1" thickBot="1" x14ac:dyDescent="0.25">
      <c r="A1071" s="90"/>
      <c r="B1071" s="90"/>
      <c r="C1071" s="90"/>
      <c r="D1071" s="90"/>
      <c r="E1071" s="90"/>
      <c r="F1071" s="90"/>
      <c r="G1071" s="105"/>
      <c r="H1071" s="90"/>
      <c r="I1071" s="90"/>
    </row>
    <row r="1072" spans="1:9" ht="24.75" customHeight="1" thickBot="1" x14ac:dyDescent="0.25">
      <c r="A1072" s="90"/>
      <c r="B1072" s="90"/>
      <c r="C1072" s="90"/>
      <c r="D1072" s="90"/>
      <c r="E1072" s="90"/>
      <c r="F1072" s="90"/>
      <c r="G1072" s="105"/>
      <c r="H1072" s="90"/>
      <c r="I1072" s="90"/>
    </row>
    <row r="1073" spans="1:9" ht="24.75" customHeight="1" thickBot="1" x14ac:dyDescent="0.25">
      <c r="A1073" s="90"/>
      <c r="B1073" s="90"/>
      <c r="C1073" s="90"/>
      <c r="D1073" s="90"/>
      <c r="E1073" s="90"/>
      <c r="F1073" s="90"/>
      <c r="G1073" s="105"/>
      <c r="H1073" s="90"/>
      <c r="I1073" s="90"/>
    </row>
    <row r="1074" spans="1:9" ht="24.75" customHeight="1" thickBot="1" x14ac:dyDescent="0.25">
      <c r="A1074" s="90"/>
      <c r="B1074" s="90"/>
      <c r="C1074" s="90"/>
      <c r="D1074" s="90"/>
      <c r="E1074" s="90"/>
      <c r="F1074" s="90"/>
      <c r="G1074" s="105"/>
      <c r="H1074" s="90"/>
      <c r="I1074" s="90"/>
    </row>
    <row r="1075" spans="1:9" ht="24.75" customHeight="1" thickBot="1" x14ac:dyDescent="0.25">
      <c r="A1075" s="90"/>
      <c r="B1075" s="90"/>
      <c r="C1075" s="90"/>
      <c r="D1075" s="90"/>
      <c r="E1075" s="90"/>
      <c r="F1075" s="90"/>
      <c r="G1075" s="105"/>
      <c r="H1075" s="90"/>
      <c r="I1075" s="90"/>
    </row>
    <row r="1076" spans="1:9" ht="24.75" customHeight="1" thickBot="1" x14ac:dyDescent="0.25">
      <c r="A1076" s="90"/>
      <c r="B1076" s="90"/>
      <c r="C1076" s="90"/>
      <c r="D1076" s="90"/>
      <c r="E1076" s="90"/>
      <c r="F1076" s="90"/>
      <c r="G1076" s="105"/>
      <c r="H1076" s="90"/>
      <c r="I1076" s="90"/>
    </row>
    <row r="1077" spans="1:9" ht="24.75" customHeight="1" thickBot="1" x14ac:dyDescent="0.25">
      <c r="A1077" s="90"/>
      <c r="B1077" s="90"/>
      <c r="C1077" s="90"/>
      <c r="D1077" s="90"/>
      <c r="E1077" s="90"/>
      <c r="F1077" s="90"/>
      <c r="G1077" s="105"/>
      <c r="H1077" s="90"/>
      <c r="I1077" s="90"/>
    </row>
    <row r="1078" spans="1:9" ht="24.75" customHeight="1" thickBot="1" x14ac:dyDescent="0.25">
      <c r="A1078" s="90"/>
      <c r="B1078" s="90"/>
      <c r="C1078" s="90"/>
      <c r="D1078" s="90"/>
      <c r="E1078" s="90"/>
      <c r="F1078" s="90"/>
      <c r="G1078" s="105"/>
      <c r="H1078" s="90"/>
      <c r="I1078" s="90"/>
    </row>
    <row r="1079" spans="1:9" ht="24.75" customHeight="1" thickBot="1" x14ac:dyDescent="0.25">
      <c r="A1079" s="90"/>
      <c r="B1079" s="90"/>
      <c r="C1079" s="90"/>
      <c r="D1079" s="90"/>
      <c r="E1079" s="90"/>
      <c r="F1079" s="90"/>
      <c r="G1079" s="105"/>
      <c r="H1079" s="90"/>
      <c r="I1079" s="90"/>
    </row>
    <row r="1080" spans="1:9" ht="24.75" customHeight="1" thickBot="1" x14ac:dyDescent="0.25">
      <c r="A1080" s="90"/>
      <c r="B1080" s="90"/>
      <c r="C1080" s="90"/>
      <c r="D1080" s="90"/>
      <c r="E1080" s="90"/>
      <c r="F1080" s="90"/>
      <c r="G1080" s="105"/>
      <c r="H1080" s="90"/>
      <c r="I1080" s="90"/>
    </row>
    <row r="1081" spans="1:9" ht="24.75" customHeight="1" thickBot="1" x14ac:dyDescent="0.25">
      <c r="A1081" s="90"/>
      <c r="B1081" s="90"/>
      <c r="C1081" s="90"/>
      <c r="D1081" s="90"/>
      <c r="E1081" s="90"/>
      <c r="F1081" s="90"/>
      <c r="G1081" s="105"/>
      <c r="H1081" s="90"/>
      <c r="I1081" s="90"/>
    </row>
    <row r="1082" spans="1:9" ht="24.75" customHeight="1" thickBot="1" x14ac:dyDescent="0.25">
      <c r="A1082" s="90"/>
      <c r="B1082" s="90"/>
      <c r="C1082" s="90"/>
      <c r="D1082" s="90"/>
      <c r="E1082" s="90"/>
      <c r="F1082" s="90"/>
      <c r="G1082" s="105"/>
      <c r="H1082" s="90"/>
      <c r="I1082" s="90"/>
    </row>
    <row r="1083" spans="1:9" ht="24.75" customHeight="1" thickBot="1" x14ac:dyDescent="0.25">
      <c r="A1083" s="90"/>
      <c r="B1083" s="90"/>
      <c r="C1083" s="90"/>
      <c r="D1083" s="90"/>
      <c r="E1083" s="90"/>
      <c r="F1083" s="90"/>
      <c r="G1083" s="105"/>
      <c r="H1083" s="90"/>
      <c r="I1083" s="90"/>
    </row>
    <row r="1084" spans="1:9" ht="24.75" customHeight="1" thickBot="1" x14ac:dyDescent="0.25">
      <c r="A1084" s="90"/>
      <c r="B1084" s="90"/>
      <c r="C1084" s="90"/>
      <c r="D1084" s="90"/>
      <c r="E1084" s="90"/>
      <c r="F1084" s="90"/>
      <c r="G1084" s="105"/>
      <c r="H1084" s="90"/>
      <c r="I1084" s="90"/>
    </row>
    <row r="1085" spans="1:9" ht="24.75" customHeight="1" thickBot="1" x14ac:dyDescent="0.25">
      <c r="A1085" s="90"/>
      <c r="B1085" s="90"/>
      <c r="C1085" s="90"/>
      <c r="D1085" s="90"/>
      <c r="E1085" s="90"/>
      <c r="F1085" s="90"/>
      <c r="G1085" s="105"/>
      <c r="H1085" s="90"/>
      <c r="I1085" s="90"/>
    </row>
    <row r="1086" spans="1:9" ht="24.75" customHeight="1" thickBot="1" x14ac:dyDescent="0.25">
      <c r="A1086" s="90"/>
      <c r="B1086" s="90"/>
      <c r="C1086" s="90"/>
      <c r="D1086" s="90"/>
      <c r="E1086" s="90"/>
      <c r="F1086" s="90"/>
      <c r="G1086" s="105"/>
      <c r="H1086" s="90"/>
      <c r="I1086" s="90"/>
    </row>
    <row r="1087" spans="1:9" ht="24.75" customHeight="1" thickBot="1" x14ac:dyDescent="0.25">
      <c r="A1087" s="90"/>
      <c r="B1087" s="90"/>
      <c r="C1087" s="90"/>
      <c r="D1087" s="90"/>
      <c r="E1087" s="90"/>
      <c r="F1087" s="90"/>
      <c r="G1087" s="105"/>
      <c r="H1087" s="90"/>
      <c r="I1087" s="90"/>
    </row>
    <row r="1088" spans="1:9" ht="24.75" customHeight="1" thickBot="1" x14ac:dyDescent="0.25">
      <c r="A1088" s="90"/>
      <c r="B1088" s="90"/>
      <c r="C1088" s="90"/>
      <c r="D1088" s="90"/>
      <c r="E1088" s="90"/>
      <c r="F1088" s="90"/>
      <c r="G1088" s="105"/>
      <c r="H1088" s="90"/>
      <c r="I1088" s="90"/>
    </row>
    <row r="1089" spans="1:9" ht="24.75" customHeight="1" thickBot="1" x14ac:dyDescent="0.25">
      <c r="A1089" s="90"/>
      <c r="B1089" s="90"/>
      <c r="C1089" s="90"/>
      <c r="D1089" s="90"/>
      <c r="E1089" s="90"/>
      <c r="F1089" s="90"/>
      <c r="G1089" s="105"/>
      <c r="H1089" s="90"/>
      <c r="I1089" s="90"/>
    </row>
    <row r="1090" spans="1:9" ht="24.75" customHeight="1" thickBot="1" x14ac:dyDescent="0.25">
      <c r="A1090" s="90"/>
      <c r="B1090" s="90"/>
      <c r="C1090" s="90"/>
      <c r="D1090" s="90"/>
      <c r="E1090" s="90"/>
      <c r="F1090" s="90"/>
      <c r="G1090" s="105"/>
      <c r="H1090" s="90"/>
      <c r="I1090" s="90"/>
    </row>
    <row r="1091" spans="1:9" ht="24.75" customHeight="1" thickBot="1" x14ac:dyDescent="0.25">
      <c r="A1091" s="90"/>
      <c r="B1091" s="90"/>
      <c r="C1091" s="90"/>
      <c r="D1091" s="90"/>
      <c r="E1091" s="90"/>
      <c r="F1091" s="90"/>
      <c r="G1091" s="105"/>
      <c r="H1091" s="90"/>
      <c r="I1091" s="90"/>
    </row>
    <row r="1092" spans="1:9" ht="24.75" customHeight="1" thickBot="1" x14ac:dyDescent="0.25">
      <c r="A1092" s="90"/>
      <c r="B1092" s="90"/>
      <c r="C1092" s="90"/>
      <c r="D1092" s="90"/>
      <c r="E1092" s="90"/>
      <c r="F1092" s="90"/>
      <c r="G1092" s="105"/>
      <c r="H1092" s="90"/>
      <c r="I1092" s="90"/>
    </row>
    <row r="1093" spans="1:9" ht="24.75" customHeight="1" thickBot="1" x14ac:dyDescent="0.25">
      <c r="A1093" s="90"/>
      <c r="B1093" s="90"/>
      <c r="C1093" s="90"/>
      <c r="D1093" s="90"/>
      <c r="E1093" s="90"/>
      <c r="F1093" s="90"/>
      <c r="G1093" s="105"/>
      <c r="H1093" s="90"/>
      <c r="I1093" s="90"/>
    </row>
    <row r="1094" spans="1:9" ht="24.75" customHeight="1" thickBot="1" x14ac:dyDescent="0.25">
      <c r="A1094" s="90"/>
      <c r="B1094" s="90"/>
      <c r="C1094" s="90"/>
      <c r="D1094" s="90"/>
      <c r="E1094" s="90"/>
      <c r="F1094" s="90"/>
      <c r="G1094" s="105"/>
      <c r="H1094" s="90"/>
      <c r="I1094" s="90"/>
    </row>
    <row r="1095" spans="1:9" ht="24.75" customHeight="1" thickBot="1" x14ac:dyDescent="0.25">
      <c r="A1095" s="90"/>
      <c r="B1095" s="90"/>
      <c r="C1095" s="90"/>
      <c r="D1095" s="90"/>
      <c r="E1095" s="90"/>
      <c r="F1095" s="90"/>
      <c r="G1095" s="105"/>
      <c r="H1095" s="90"/>
      <c r="I1095" s="90"/>
    </row>
    <row r="1096" spans="1:9" ht="24.75" customHeight="1" thickBot="1" x14ac:dyDescent="0.25">
      <c r="A1096" s="90"/>
      <c r="B1096" s="90"/>
      <c r="C1096" s="79"/>
      <c r="D1096" s="90"/>
      <c r="E1096" s="90"/>
      <c r="F1096" s="79"/>
      <c r="G1096" s="105"/>
      <c r="H1096" s="90"/>
      <c r="I1096" s="79"/>
    </row>
    <row r="1097" spans="1:9" ht="24.75" customHeight="1" thickBot="1" x14ac:dyDescent="0.25">
      <c r="A1097" s="90"/>
      <c r="B1097" s="90"/>
      <c r="C1097" s="79"/>
      <c r="D1097" s="90"/>
      <c r="E1097" s="90"/>
      <c r="F1097" s="79"/>
      <c r="G1097" s="105"/>
      <c r="H1097" s="90"/>
      <c r="I1097" s="79"/>
    </row>
    <row r="1098" spans="1:9" ht="24.75" customHeight="1" thickBot="1" x14ac:dyDescent="0.25">
      <c r="A1098" s="90"/>
      <c r="B1098" s="90"/>
      <c r="C1098" s="79"/>
      <c r="D1098" s="90"/>
      <c r="E1098" s="90"/>
      <c r="F1098" s="79"/>
      <c r="G1098" s="105"/>
      <c r="H1098" s="90"/>
      <c r="I1098" s="79"/>
    </row>
    <row r="1099" spans="1:9" ht="24.75" customHeight="1" thickBot="1" x14ac:dyDescent="0.25">
      <c r="A1099" s="90"/>
      <c r="B1099" s="90"/>
      <c r="C1099" s="79"/>
      <c r="D1099" s="90"/>
      <c r="E1099" s="90"/>
      <c r="F1099" s="79"/>
      <c r="G1099" s="105"/>
      <c r="H1099" s="90"/>
      <c r="I1099" s="79"/>
    </row>
    <row r="1100" spans="1:9" ht="24.75" customHeight="1" thickBot="1" x14ac:dyDescent="0.25">
      <c r="A1100" s="90"/>
      <c r="B1100" s="90"/>
      <c r="D1100" s="90"/>
      <c r="E1100" s="90"/>
      <c r="G1100" s="105"/>
      <c r="H1100" s="90"/>
    </row>
    <row r="1101" spans="1:9" ht="24.75" customHeight="1" thickBot="1" x14ac:dyDescent="0.25">
      <c r="A1101" s="90"/>
      <c r="B1101" s="90"/>
      <c r="D1101" s="90"/>
      <c r="E1101" s="90"/>
      <c r="G1101" s="105"/>
      <c r="H1101" s="90"/>
    </row>
    <row r="1102" spans="1:9" ht="24.75" customHeight="1" thickBot="1" x14ac:dyDescent="0.25">
      <c r="A1102" s="90"/>
      <c r="B1102" s="90"/>
      <c r="D1102" s="90"/>
      <c r="E1102" s="90"/>
      <c r="G1102" s="105"/>
      <c r="H1102" s="90"/>
    </row>
    <row r="1103" spans="1:9" ht="24.75" customHeight="1" thickBot="1" x14ac:dyDescent="0.25">
      <c r="A1103" s="90"/>
      <c r="B1103" s="90"/>
      <c r="D1103" s="90"/>
      <c r="E1103" s="90"/>
      <c r="G1103" s="105"/>
      <c r="H1103" s="90"/>
    </row>
    <row r="1104" spans="1:9" ht="24.75" customHeight="1" thickBot="1" x14ac:dyDescent="0.25">
      <c r="A1104" s="90"/>
      <c r="B1104" s="90"/>
      <c r="D1104" s="90"/>
      <c r="E1104" s="90"/>
      <c r="G1104" s="105"/>
      <c r="H1104" s="90"/>
    </row>
    <row r="1105" spans="1:8" ht="24.75" customHeight="1" thickBot="1" x14ac:dyDescent="0.25">
      <c r="A1105" s="90"/>
      <c r="B1105" s="90"/>
      <c r="D1105" s="90"/>
      <c r="E1105" s="90"/>
      <c r="G1105" s="105"/>
      <c r="H1105" s="90"/>
    </row>
    <row r="1106" spans="1:8" ht="24.75" customHeight="1" thickBot="1" x14ac:dyDescent="0.25">
      <c r="A1106" s="90"/>
      <c r="B1106" s="90"/>
      <c r="D1106" s="90"/>
      <c r="E1106" s="90"/>
      <c r="G1106" s="105"/>
      <c r="H1106" s="90"/>
    </row>
    <row r="1107" spans="1:8" ht="24.75" customHeight="1" thickBot="1" x14ac:dyDescent="0.25">
      <c r="A1107" s="90"/>
      <c r="B1107" s="90"/>
      <c r="D1107" s="90"/>
      <c r="E1107" s="90"/>
      <c r="G1107" s="105"/>
      <c r="H1107" s="90"/>
    </row>
    <row r="1108" spans="1:8" ht="24.75" customHeight="1" thickBot="1" x14ac:dyDescent="0.25">
      <c r="A1108" s="90"/>
      <c r="B1108" s="90"/>
      <c r="D1108" s="90"/>
      <c r="E1108" s="90"/>
      <c r="G1108" s="105"/>
      <c r="H1108" s="90"/>
    </row>
    <row r="1109" spans="1:8" ht="24.75" customHeight="1" thickBot="1" x14ac:dyDescent="0.25">
      <c r="A1109" s="90"/>
      <c r="B1109" s="90"/>
      <c r="D1109" s="90"/>
      <c r="E1109" s="90"/>
      <c r="G1109" s="105"/>
      <c r="H1109" s="90"/>
    </row>
    <row r="1110" spans="1:8" ht="24.75" customHeight="1" thickBot="1" x14ac:dyDescent="0.25">
      <c r="A1110" s="90"/>
      <c r="B1110" s="90"/>
      <c r="D1110" s="90"/>
      <c r="E1110" s="90"/>
      <c r="G1110" s="105"/>
      <c r="H1110" s="90"/>
    </row>
    <row r="1111" spans="1:8" ht="24.75" customHeight="1" thickBot="1" x14ac:dyDescent="0.25">
      <c r="A1111" s="90"/>
      <c r="B1111" s="90"/>
      <c r="D1111" s="90"/>
      <c r="E1111" s="90"/>
      <c r="G1111" s="105"/>
      <c r="H1111" s="90"/>
    </row>
    <row r="1112" spans="1:8" ht="24.75" customHeight="1" thickBot="1" x14ac:dyDescent="0.25">
      <c r="A1112" s="90"/>
      <c r="B1112" s="90"/>
      <c r="D1112" s="90"/>
      <c r="E1112" s="90"/>
      <c r="G1112" s="105"/>
      <c r="H1112" s="90"/>
    </row>
    <row r="1113" spans="1:8" ht="24.75" customHeight="1" thickBot="1" x14ac:dyDescent="0.25">
      <c r="A1113" s="90"/>
      <c r="B1113" s="90"/>
      <c r="D1113" s="90"/>
      <c r="E1113" s="90"/>
      <c r="G1113" s="105"/>
      <c r="H1113" s="90"/>
    </row>
    <row r="1114" spans="1:8" ht="24.75" customHeight="1" thickBot="1" x14ac:dyDescent="0.25">
      <c r="A1114" s="90"/>
      <c r="B1114" s="90"/>
      <c r="D1114" s="90"/>
      <c r="E1114" s="90"/>
      <c r="G1114" s="105"/>
      <c r="H1114" s="90"/>
    </row>
    <row r="1115" spans="1:8" ht="24.75" customHeight="1" thickBot="1" x14ac:dyDescent="0.25">
      <c r="A1115" s="90"/>
      <c r="B1115" s="90"/>
      <c r="D1115" s="90"/>
      <c r="E1115" s="90"/>
      <c r="G1115" s="105"/>
      <c r="H1115" s="90"/>
    </row>
    <row r="1116" spans="1:8" ht="24.75" customHeight="1" thickBot="1" x14ac:dyDescent="0.25">
      <c r="A1116" s="90"/>
      <c r="B1116" s="90"/>
      <c r="D1116" s="90"/>
      <c r="E1116" s="90"/>
      <c r="G1116" s="105"/>
      <c r="H1116" s="90"/>
    </row>
    <row r="1117" spans="1:8" ht="24.75" customHeight="1" thickBot="1" x14ac:dyDescent="0.25">
      <c r="A1117" s="90"/>
      <c r="B1117" s="90"/>
      <c r="D1117" s="90"/>
      <c r="E1117" s="90"/>
      <c r="G1117" s="105"/>
      <c r="H1117" s="90"/>
    </row>
    <row r="1118" spans="1:8" ht="24.75" customHeight="1" thickBot="1" x14ac:dyDescent="0.25">
      <c r="A1118" s="90"/>
      <c r="B1118" s="90"/>
      <c r="D1118" s="90"/>
      <c r="E1118" s="90"/>
      <c r="G1118" s="105"/>
      <c r="H1118" s="90"/>
    </row>
    <row r="1119" spans="1:8" ht="24.75" customHeight="1" thickBot="1" x14ac:dyDescent="0.25">
      <c r="A1119" s="90"/>
      <c r="B1119" s="90"/>
      <c r="D1119" s="90"/>
      <c r="E1119" s="90"/>
      <c r="G1119" s="105"/>
      <c r="H1119" s="90"/>
    </row>
    <row r="1120" spans="1:8" ht="24.75" customHeight="1" thickBot="1" x14ac:dyDescent="0.25">
      <c r="A1120" s="90"/>
      <c r="B1120" s="90"/>
      <c r="D1120" s="90"/>
      <c r="E1120" s="90"/>
      <c r="G1120" s="105"/>
      <c r="H1120" s="90"/>
    </row>
    <row r="1121" spans="1:8" ht="24.75" customHeight="1" thickBot="1" x14ac:dyDescent="0.25">
      <c r="A1121" s="90"/>
      <c r="B1121" s="90"/>
      <c r="D1121" s="90"/>
      <c r="E1121" s="90"/>
      <c r="G1121" s="105"/>
      <c r="H1121" s="90"/>
    </row>
    <row r="1122" spans="1:8" ht="24.75" customHeight="1" thickBot="1" x14ac:dyDescent="0.25">
      <c r="A1122" s="90"/>
      <c r="B1122" s="90"/>
      <c r="D1122" s="90"/>
      <c r="E1122" s="90"/>
      <c r="G1122" s="105"/>
      <c r="H1122" s="90"/>
    </row>
    <row r="1123" spans="1:8" ht="24.75" customHeight="1" thickBot="1" x14ac:dyDescent="0.25">
      <c r="A1123" s="90"/>
      <c r="B1123" s="90"/>
      <c r="D1123" s="90"/>
      <c r="E1123" s="90"/>
      <c r="G1123" s="105"/>
      <c r="H1123" s="90"/>
    </row>
    <row r="1124" spans="1:8" ht="24.75" customHeight="1" thickBot="1" x14ac:dyDescent="0.25">
      <c r="A1124" s="90"/>
      <c r="B1124" s="90"/>
      <c r="D1124" s="90"/>
      <c r="E1124" s="90"/>
      <c r="G1124" s="105"/>
      <c r="H1124" s="90"/>
    </row>
    <row r="1125" spans="1:8" ht="24.75" customHeight="1" thickBot="1" x14ac:dyDescent="0.25">
      <c r="A1125" s="90"/>
      <c r="B1125" s="90"/>
      <c r="D1125" s="90"/>
      <c r="E1125" s="90"/>
      <c r="G1125" s="105"/>
      <c r="H1125" s="90"/>
    </row>
    <row r="1126" spans="1:8" ht="24.75" customHeight="1" thickBot="1" x14ac:dyDescent="0.25">
      <c r="A1126" s="90"/>
      <c r="B1126" s="90"/>
      <c r="D1126" s="90"/>
      <c r="E1126" s="90"/>
      <c r="G1126" s="105"/>
      <c r="H1126" s="90"/>
    </row>
    <row r="1127" spans="1:8" ht="24.75" customHeight="1" thickBot="1" x14ac:dyDescent="0.25">
      <c r="A1127" s="90"/>
      <c r="B1127" s="90"/>
      <c r="D1127" s="90"/>
      <c r="E1127" s="90"/>
      <c r="G1127" s="105"/>
      <c r="H1127" s="90"/>
    </row>
    <row r="1128" spans="1:8" ht="24.75" customHeight="1" thickBot="1" x14ac:dyDescent="0.25">
      <c r="A1128" s="90"/>
      <c r="B1128" s="90"/>
      <c r="D1128" s="90"/>
      <c r="E1128" s="90"/>
      <c r="G1128" s="105"/>
      <c r="H1128" s="90"/>
    </row>
    <row r="1129" spans="1:8" ht="24.75" customHeight="1" thickBot="1" x14ac:dyDescent="0.25">
      <c r="A1129" s="90"/>
      <c r="B1129" s="90"/>
      <c r="D1129" s="90"/>
      <c r="E1129" s="90"/>
      <c r="G1129" s="105"/>
      <c r="H1129" s="90"/>
    </row>
    <row r="1130" spans="1:8" ht="24.75" customHeight="1" thickBot="1" x14ac:dyDescent="0.25">
      <c r="A1130" s="90"/>
      <c r="B1130" s="90"/>
      <c r="D1130" s="90"/>
      <c r="E1130" s="90"/>
      <c r="G1130" s="105"/>
      <c r="H1130" s="90"/>
    </row>
    <row r="1131" spans="1:8" ht="24.75" customHeight="1" thickBot="1" x14ac:dyDescent="0.25">
      <c r="A1131" s="90"/>
      <c r="B1131" s="90"/>
      <c r="D1131" s="90"/>
      <c r="E1131" s="90"/>
      <c r="G1131" s="105"/>
      <c r="H1131" s="90"/>
    </row>
    <row r="1132" spans="1:8" ht="24.75" customHeight="1" thickBot="1" x14ac:dyDescent="0.25">
      <c r="A1132" s="90"/>
      <c r="B1132" s="90"/>
      <c r="D1132" s="90"/>
      <c r="E1132" s="90"/>
      <c r="G1132" s="105"/>
      <c r="H1132" s="90"/>
    </row>
    <row r="1133" spans="1:8" ht="24.75" customHeight="1" thickBot="1" x14ac:dyDescent="0.25">
      <c r="A1133" s="90"/>
      <c r="B1133" s="90"/>
      <c r="D1133" s="90"/>
      <c r="E1133" s="90"/>
      <c r="G1133" s="105"/>
      <c r="H1133" s="90"/>
    </row>
    <row r="1134" spans="1:8" ht="24.75" customHeight="1" thickBot="1" x14ac:dyDescent="0.25">
      <c r="A1134" s="90"/>
      <c r="B1134" s="90"/>
      <c r="D1134" s="90"/>
      <c r="E1134" s="90"/>
      <c r="G1134" s="105"/>
      <c r="H1134" s="90"/>
    </row>
    <row r="1135" spans="1:8" ht="24.75" customHeight="1" thickBot="1" x14ac:dyDescent="0.25">
      <c r="A1135" s="90"/>
      <c r="B1135" s="90"/>
      <c r="D1135" s="90"/>
      <c r="E1135" s="90"/>
      <c r="G1135" s="105"/>
      <c r="H1135" s="90"/>
    </row>
    <row r="1136" spans="1:8" ht="24.75" customHeight="1" thickBot="1" x14ac:dyDescent="0.25">
      <c r="A1136" s="90"/>
      <c r="B1136" s="90"/>
      <c r="D1136" s="90"/>
      <c r="E1136" s="90"/>
      <c r="G1136" s="105"/>
      <c r="H1136" s="90"/>
    </row>
    <row r="1137" spans="1:8" ht="24.75" customHeight="1" thickBot="1" x14ac:dyDescent="0.25">
      <c r="A1137" s="90"/>
      <c r="B1137" s="90"/>
      <c r="D1137" s="90"/>
      <c r="E1137" s="90"/>
      <c r="G1137" s="105"/>
      <c r="H1137" s="90"/>
    </row>
    <row r="1138" spans="1:8" ht="24.75" customHeight="1" thickBot="1" x14ac:dyDescent="0.25">
      <c r="A1138" s="90"/>
      <c r="B1138" s="90"/>
      <c r="D1138" s="90"/>
      <c r="E1138" s="90"/>
      <c r="G1138" s="105"/>
      <c r="H1138" s="79"/>
    </row>
    <row r="1139" spans="1:8" ht="24.75" customHeight="1" thickBot="1" x14ac:dyDescent="0.25">
      <c r="A1139" s="90"/>
      <c r="B1139" s="90"/>
      <c r="D1139" s="90"/>
      <c r="E1139" s="90"/>
      <c r="G1139" s="105"/>
      <c r="H1139" s="79"/>
    </row>
    <row r="1140" spans="1:8" ht="24.75" customHeight="1" thickBot="1" x14ac:dyDescent="0.25">
      <c r="A1140" s="90"/>
      <c r="B1140" s="90"/>
      <c r="D1140" s="90"/>
      <c r="E1140" s="90"/>
      <c r="G1140" s="105"/>
      <c r="H1140" s="79"/>
    </row>
    <row r="1141" spans="1:8" ht="24.75" customHeight="1" thickBot="1" x14ac:dyDescent="0.25">
      <c r="A1141" s="90"/>
      <c r="B1141" s="90"/>
      <c r="D1141" s="90"/>
      <c r="E1141" s="90"/>
      <c r="G1141" s="105"/>
      <c r="H1141" s="79"/>
    </row>
    <row r="1142" spans="1:8" ht="24.75" customHeight="1" thickBot="1" x14ac:dyDescent="0.25">
      <c r="A1142" s="90"/>
      <c r="B1142" s="90"/>
      <c r="D1142" s="90"/>
      <c r="E1142" s="90"/>
      <c r="G1142" s="105"/>
    </row>
    <row r="1143" spans="1:8" ht="24.75" customHeight="1" thickBot="1" x14ac:dyDescent="0.25">
      <c r="A1143" s="90"/>
      <c r="B1143" s="90"/>
      <c r="D1143" s="90"/>
      <c r="E1143" s="90"/>
      <c r="G1143" s="105"/>
    </row>
    <row r="1144" spans="1:8" ht="24.75" customHeight="1" thickBot="1" x14ac:dyDescent="0.25">
      <c r="A1144" s="90"/>
      <c r="B1144" s="90"/>
      <c r="D1144" s="90"/>
      <c r="E1144" s="90"/>
      <c r="G1144" s="105"/>
    </row>
    <row r="1145" spans="1:8" ht="24.75" customHeight="1" thickBot="1" x14ac:dyDescent="0.25">
      <c r="A1145" s="90"/>
      <c r="B1145" s="90"/>
      <c r="D1145" s="90"/>
      <c r="E1145" s="90"/>
      <c r="G1145" s="105"/>
    </row>
    <row r="1146" spans="1:8" ht="24.75" customHeight="1" thickBot="1" x14ac:dyDescent="0.25">
      <c r="A1146" s="90"/>
      <c r="B1146" s="90"/>
      <c r="D1146" s="90"/>
      <c r="E1146" s="90"/>
      <c r="G1146" s="105"/>
    </row>
    <row r="1147" spans="1:8" ht="24.75" customHeight="1" thickBot="1" x14ac:dyDescent="0.25">
      <c r="A1147" s="90"/>
      <c r="B1147" s="90"/>
      <c r="D1147" s="90"/>
      <c r="E1147" s="90"/>
      <c r="G1147" s="105"/>
    </row>
    <row r="1148" spans="1:8" ht="24.75" customHeight="1" thickBot="1" x14ac:dyDescent="0.25">
      <c r="A1148" s="90"/>
      <c r="B1148" s="90"/>
      <c r="D1148" s="90"/>
      <c r="E1148" s="90"/>
      <c r="G1148" s="105"/>
    </row>
    <row r="1149" spans="1:8" ht="24.75" customHeight="1" thickBot="1" x14ac:dyDescent="0.25">
      <c r="A1149" s="90"/>
      <c r="B1149" s="90"/>
      <c r="D1149" s="90"/>
      <c r="E1149" s="90"/>
      <c r="G1149" s="105"/>
    </row>
    <row r="1150" spans="1:8" ht="24.75" customHeight="1" thickBot="1" x14ac:dyDescent="0.25">
      <c r="A1150" s="90"/>
      <c r="B1150" s="90"/>
      <c r="D1150" s="90"/>
      <c r="E1150" s="90"/>
      <c r="G1150" s="105"/>
    </row>
    <row r="1151" spans="1:8" ht="24.75" customHeight="1" thickBot="1" x14ac:dyDescent="0.25">
      <c r="A1151" s="90"/>
      <c r="B1151" s="90"/>
      <c r="D1151" s="90"/>
      <c r="E1151" s="90"/>
      <c r="G1151" s="105"/>
    </row>
    <row r="1152" spans="1:8" ht="24.75" customHeight="1" thickBot="1" x14ac:dyDescent="0.25">
      <c r="A1152" s="90"/>
      <c r="B1152" s="90"/>
      <c r="D1152" s="90"/>
      <c r="E1152" s="90"/>
      <c r="G1152" s="105"/>
    </row>
    <row r="1153" spans="1:7" ht="24.75" customHeight="1" thickBot="1" x14ac:dyDescent="0.25">
      <c r="A1153" s="90"/>
      <c r="B1153" s="90"/>
      <c r="D1153" s="90"/>
      <c r="E1153" s="90"/>
      <c r="G1153" s="105"/>
    </row>
    <row r="1154" spans="1:7" ht="24.75" customHeight="1" thickBot="1" x14ac:dyDescent="0.25">
      <c r="A1154" s="90"/>
      <c r="B1154" s="79"/>
      <c r="D1154" s="90"/>
      <c r="E1154" s="90"/>
      <c r="G1154" s="105"/>
    </row>
    <row r="1155" spans="1:7" ht="24.75" customHeight="1" thickBot="1" x14ac:dyDescent="0.25">
      <c r="A1155" s="79"/>
      <c r="B1155" s="79"/>
      <c r="D1155" s="90"/>
      <c r="E1155" s="90"/>
    </row>
    <row r="1156" spans="1:7" ht="24.75" customHeight="1" thickBot="1" x14ac:dyDescent="0.25">
      <c r="A1156" s="79"/>
      <c r="B1156" s="79"/>
      <c r="D1156" s="90"/>
      <c r="E1156" s="90"/>
    </row>
    <row r="1157" spans="1:7" ht="24.75" customHeight="1" thickBot="1" x14ac:dyDescent="0.25">
      <c r="A1157" s="79"/>
      <c r="B1157" s="79"/>
      <c r="D1157" s="90"/>
      <c r="E1157" s="90"/>
    </row>
    <row r="1158" spans="1:7" ht="24.75" customHeight="1" thickBot="1" x14ac:dyDescent="0.25">
      <c r="A1158" s="79"/>
      <c r="D1158" s="90"/>
      <c r="E1158" s="90"/>
    </row>
    <row r="1159" spans="1:7" ht="24.75" customHeight="1" thickBot="1" x14ac:dyDescent="0.25">
      <c r="D1159" s="90"/>
      <c r="E1159" s="90"/>
    </row>
    <row r="1160" spans="1:7" ht="24.75" customHeight="1" thickBot="1" x14ac:dyDescent="0.25">
      <c r="D1160" s="90"/>
      <c r="E1160" s="90"/>
    </row>
    <row r="1161" spans="1:7" ht="24.75" customHeight="1" thickBot="1" x14ac:dyDescent="0.25">
      <c r="D1161" s="90"/>
      <c r="E1161" s="90"/>
    </row>
    <row r="1162" spans="1:7" ht="24.75" customHeight="1" thickBot="1" x14ac:dyDescent="0.25">
      <c r="D1162" s="90"/>
      <c r="E1162" s="90"/>
    </row>
    <row r="1163" spans="1:7" ht="24.75" customHeight="1" thickBot="1" x14ac:dyDescent="0.25">
      <c r="D1163" s="90"/>
      <c r="E1163" s="90"/>
    </row>
    <row r="1164" spans="1:7" ht="24.75" customHeight="1" thickBot="1" x14ac:dyDescent="0.25">
      <c r="D1164" s="90"/>
      <c r="E1164" s="90"/>
    </row>
    <row r="1165" spans="1:7" ht="24.75" customHeight="1" thickBot="1" x14ac:dyDescent="0.25">
      <c r="D1165" s="90"/>
      <c r="E1165" s="90"/>
    </row>
    <row r="1166" spans="1:7" ht="24.75" customHeight="1" thickBot="1" x14ac:dyDescent="0.25">
      <c r="D1166" s="90"/>
      <c r="E1166" s="90"/>
    </row>
    <row r="1167" spans="1:7" ht="24.75" customHeight="1" thickBot="1" x14ac:dyDescent="0.25">
      <c r="D1167" s="90"/>
      <c r="E1167" s="90"/>
    </row>
    <row r="1168" spans="1:7" ht="24.75" customHeight="1" thickBot="1" x14ac:dyDescent="0.25">
      <c r="D1168" s="90"/>
      <c r="E1168" s="90"/>
    </row>
    <row r="1169" spans="4:5" ht="24.75" customHeight="1" thickBot="1" x14ac:dyDescent="0.25">
      <c r="D1169" s="90"/>
      <c r="E1169" s="90"/>
    </row>
    <row r="1170" spans="4:5" ht="24.75" customHeight="1" thickBot="1" x14ac:dyDescent="0.25">
      <c r="D1170" s="90"/>
      <c r="E1170" s="90"/>
    </row>
    <row r="1171" spans="4:5" ht="24.75" customHeight="1" thickBot="1" x14ac:dyDescent="0.25">
      <c r="D1171" s="90"/>
      <c r="E1171" s="90"/>
    </row>
    <row r="1172" spans="4:5" ht="24.75" customHeight="1" thickBot="1" x14ac:dyDescent="0.25">
      <c r="D1172" s="90"/>
      <c r="E1172" s="90"/>
    </row>
    <row r="1173" spans="4:5" ht="24.75" customHeight="1" thickBot="1" x14ac:dyDescent="0.25">
      <c r="D1173" s="90"/>
      <c r="E1173" s="90"/>
    </row>
    <row r="1174" spans="4:5" ht="24.75" customHeight="1" thickBot="1" x14ac:dyDescent="0.25">
      <c r="D1174" s="90"/>
      <c r="E1174" s="90"/>
    </row>
    <row r="1175" spans="4:5" ht="24.75" customHeight="1" thickBot="1" x14ac:dyDescent="0.25">
      <c r="D1175" s="90"/>
      <c r="E1175" s="90"/>
    </row>
    <row r="1176" spans="4:5" ht="24.75" customHeight="1" thickBot="1" x14ac:dyDescent="0.25">
      <c r="D1176" s="90"/>
      <c r="E1176" s="90"/>
    </row>
    <row r="1177" spans="4:5" ht="24.75" customHeight="1" thickBot="1" x14ac:dyDescent="0.25">
      <c r="D1177" s="90"/>
      <c r="E1177" s="90"/>
    </row>
    <row r="1178" spans="4:5" ht="24.75" customHeight="1" thickBot="1" x14ac:dyDescent="0.25">
      <c r="D1178" s="90"/>
      <c r="E1178" s="90"/>
    </row>
    <row r="1179" spans="4:5" ht="24.75" customHeight="1" thickBot="1" x14ac:dyDescent="0.25">
      <c r="D1179" s="90"/>
      <c r="E1179" s="90"/>
    </row>
    <row r="1180" spans="4:5" ht="24.75" customHeight="1" thickBot="1" x14ac:dyDescent="0.25">
      <c r="D1180" s="90"/>
      <c r="E1180" s="90"/>
    </row>
    <row r="1181" spans="4:5" ht="24.75" customHeight="1" thickBot="1" x14ac:dyDescent="0.25">
      <c r="D1181" s="90"/>
      <c r="E1181" s="90"/>
    </row>
    <row r="1182" spans="4:5" ht="24.75" customHeight="1" thickBot="1" x14ac:dyDescent="0.25">
      <c r="D1182" s="90"/>
      <c r="E1182" s="90"/>
    </row>
    <row r="1183" spans="4:5" ht="24.75" customHeight="1" thickBot="1" x14ac:dyDescent="0.25">
      <c r="D1183" s="90"/>
      <c r="E1183" s="90"/>
    </row>
    <row r="1184" spans="4:5" ht="24.75" customHeight="1" thickBot="1" x14ac:dyDescent="0.25">
      <c r="D1184" s="90"/>
      <c r="E1184" s="90"/>
    </row>
    <row r="1185" spans="4:5" ht="24.75" customHeight="1" thickBot="1" x14ac:dyDescent="0.25">
      <c r="D1185" s="90"/>
      <c r="E1185" s="90"/>
    </row>
    <row r="1186" spans="4:5" ht="24.75" customHeight="1" thickBot="1" x14ac:dyDescent="0.25">
      <c r="D1186" s="90"/>
      <c r="E1186" s="90"/>
    </row>
    <row r="1187" spans="4:5" ht="24.75" customHeight="1" thickBot="1" x14ac:dyDescent="0.25">
      <c r="D1187" s="90"/>
      <c r="E1187" s="90"/>
    </row>
    <row r="1188" spans="4:5" ht="24.75" customHeight="1" thickBot="1" x14ac:dyDescent="0.25">
      <c r="D1188" s="90"/>
      <c r="E1188" s="90"/>
    </row>
    <row r="1189" spans="4:5" ht="24.75" customHeight="1" thickBot="1" x14ac:dyDescent="0.25">
      <c r="D1189" s="90"/>
      <c r="E1189" s="90"/>
    </row>
    <row r="1190" spans="4:5" ht="24.75" customHeight="1" thickBot="1" x14ac:dyDescent="0.25">
      <c r="D1190" s="90"/>
      <c r="E1190" s="90"/>
    </row>
    <row r="1191" spans="4:5" ht="24.75" customHeight="1" thickBot="1" x14ac:dyDescent="0.25">
      <c r="D1191" s="90"/>
      <c r="E1191" s="90"/>
    </row>
    <row r="1192" spans="4:5" ht="24.75" customHeight="1" thickBot="1" x14ac:dyDescent="0.25">
      <c r="D1192" s="90"/>
      <c r="E1192" s="90"/>
    </row>
    <row r="1193" spans="4:5" ht="24.75" customHeight="1" thickBot="1" x14ac:dyDescent="0.25">
      <c r="D1193" s="90"/>
      <c r="E1193" s="90"/>
    </row>
    <row r="1194" spans="4:5" ht="24.75" customHeight="1" thickBot="1" x14ac:dyDescent="0.25">
      <c r="D1194" s="90"/>
      <c r="E1194" s="90"/>
    </row>
    <row r="1195" spans="4:5" ht="24.75" customHeight="1" thickBot="1" x14ac:dyDescent="0.25">
      <c r="D1195" s="90"/>
      <c r="E1195" s="90"/>
    </row>
    <row r="1196" spans="4:5" ht="24.75" customHeight="1" thickBot="1" x14ac:dyDescent="0.25">
      <c r="D1196" s="90"/>
      <c r="E1196" s="90"/>
    </row>
    <row r="1197" spans="4:5" ht="24.75" customHeight="1" thickBot="1" x14ac:dyDescent="0.25">
      <c r="D1197" s="90"/>
      <c r="E1197" s="90"/>
    </row>
    <row r="1198" spans="4:5" ht="24.75" customHeight="1" thickBot="1" x14ac:dyDescent="0.25">
      <c r="D1198" s="90"/>
      <c r="E1198" s="90"/>
    </row>
    <row r="1199" spans="4:5" ht="24.75" customHeight="1" thickBot="1" x14ac:dyDescent="0.25">
      <c r="D1199" s="90"/>
      <c r="E1199" s="90"/>
    </row>
    <row r="1200" spans="4:5" ht="24.75" customHeight="1" thickBot="1" x14ac:dyDescent="0.25">
      <c r="D1200" s="90"/>
      <c r="E1200" s="90"/>
    </row>
    <row r="1201" spans="4:5" ht="24.75" customHeight="1" thickBot="1" x14ac:dyDescent="0.25">
      <c r="D1201" s="90"/>
      <c r="E1201" s="90"/>
    </row>
    <row r="1202" spans="4:5" ht="24.75" customHeight="1" thickBot="1" x14ac:dyDescent="0.25">
      <c r="D1202" s="90"/>
      <c r="E1202" s="90"/>
    </row>
    <row r="1203" spans="4:5" ht="24.75" customHeight="1" thickBot="1" x14ac:dyDescent="0.25">
      <c r="D1203" s="90"/>
      <c r="E1203" s="90"/>
    </row>
    <row r="1204" spans="4:5" ht="24.75" customHeight="1" thickBot="1" x14ac:dyDescent="0.25">
      <c r="D1204" s="90"/>
      <c r="E1204" s="90"/>
    </row>
    <row r="1205" spans="4:5" ht="24.75" customHeight="1" x14ac:dyDescent="0.2">
      <c r="D1205" s="79"/>
      <c r="E1205" s="79"/>
    </row>
  </sheetData>
  <autoFilter ref="A1:B108"/>
  <phoneticPr fontId="8" type="noConversion"/>
  <pageMargins left="0.7" right="0.7" top="0.75" bottom="0.75" header="0.3" footer="0.3"/>
  <pageSetup paperSize="9" scale="60" orientation="portrait" r:id="rId1"/>
  <legacy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993366"/>
  </sheetPr>
  <dimension ref="A1:AL775"/>
  <sheetViews>
    <sheetView showGridLines="0" rightToLeft="1" zoomScale="91" zoomScaleNormal="91" workbookViewId="0">
      <pane ySplit="2" topLeftCell="A3" activePane="bottomLeft" state="frozen"/>
      <selection pane="bottomLeft" activeCell="D13" sqref="D13"/>
    </sheetView>
  </sheetViews>
  <sheetFormatPr defaultRowHeight="14.25" x14ac:dyDescent="0.2"/>
  <cols>
    <col min="1" max="1" width="5.125" customWidth="1"/>
    <col min="2" max="2" width="11.375" customWidth="1"/>
    <col min="3" max="3" width="34" style="56" customWidth="1"/>
    <col min="4" max="4" width="28.5" customWidth="1"/>
    <col min="5" max="6" width="14" customWidth="1"/>
    <col min="7" max="10" width="11.625" customWidth="1"/>
    <col min="11" max="11" width="3.625" customWidth="1"/>
    <col min="12" max="12" width="4.375" customWidth="1"/>
    <col min="13" max="13" width="4.5" customWidth="1"/>
    <col min="14" max="14" width="5.625" customWidth="1"/>
    <col min="15" max="15" width="3.5" customWidth="1"/>
    <col min="16" max="17" width="3" customWidth="1"/>
    <col min="18" max="18" width="6.625" customWidth="1"/>
    <col min="19" max="19" width="5.25" customWidth="1"/>
    <col min="20" max="20" width="4.5" customWidth="1"/>
    <col min="21" max="23" width="11" style="57" customWidth="1"/>
    <col min="24" max="24" width="9.375" style="58" customWidth="1"/>
    <col min="25" max="25" width="7.875" style="4" customWidth="1"/>
    <col min="26" max="26" width="9" style="4" customWidth="1"/>
    <col min="27" max="27" width="8.375" style="4" customWidth="1"/>
    <col min="28" max="28" width="9" customWidth="1"/>
    <col min="29" max="29" width="9.875" bestFit="1" customWidth="1"/>
  </cols>
  <sheetData>
    <row r="1" spans="1:38" x14ac:dyDescent="0.2">
      <c r="G1" s="128" t="s">
        <v>1483</v>
      </c>
      <c r="H1" s="128"/>
      <c r="I1" s="128"/>
      <c r="J1" s="128"/>
      <c r="K1" t="s">
        <v>1488</v>
      </c>
    </row>
    <row r="2" spans="1:38" ht="45.75" customHeight="1" thickBot="1" x14ac:dyDescent="0.25">
      <c r="A2" s="53" t="s">
        <v>60</v>
      </c>
      <c r="B2" s="53" t="s">
        <v>324</v>
      </c>
      <c r="C2" s="53" t="s">
        <v>323</v>
      </c>
      <c r="D2" s="54" t="s">
        <v>326</v>
      </c>
      <c r="E2" s="54" t="s">
        <v>1472</v>
      </c>
      <c r="F2" s="54" t="s">
        <v>1505</v>
      </c>
      <c r="G2" s="108" t="s">
        <v>1473</v>
      </c>
      <c r="H2" s="108" t="s">
        <v>1474</v>
      </c>
      <c r="I2" s="108" t="s">
        <v>1475</v>
      </c>
      <c r="J2" s="108" t="s">
        <v>1476</v>
      </c>
      <c r="K2" s="108" t="s">
        <v>1489</v>
      </c>
      <c r="L2" s="108" t="s">
        <v>1490</v>
      </c>
      <c r="M2" s="108" t="s">
        <v>1491</v>
      </c>
      <c r="N2" s="108" t="s">
        <v>1492</v>
      </c>
      <c r="O2" s="108" t="s">
        <v>1493</v>
      </c>
      <c r="P2" s="108" t="s">
        <v>1494</v>
      </c>
      <c r="Q2" s="108" t="s">
        <v>1495</v>
      </c>
      <c r="R2" s="108" t="s">
        <v>1496</v>
      </c>
      <c r="S2" s="108" t="s">
        <v>1497</v>
      </c>
      <c r="T2" s="108" t="s">
        <v>1476</v>
      </c>
      <c r="U2" s="55" t="s">
        <v>61</v>
      </c>
      <c r="V2" s="55" t="s">
        <v>1481</v>
      </c>
      <c r="W2" s="55" t="s">
        <v>1482</v>
      </c>
      <c r="X2" s="54" t="s">
        <v>192</v>
      </c>
      <c r="Y2" s="54" t="s">
        <v>325</v>
      </c>
      <c r="Z2" s="54" t="s">
        <v>177</v>
      </c>
      <c r="AA2" s="54" t="s">
        <v>878</v>
      </c>
      <c r="AB2" s="54" t="s">
        <v>1499</v>
      </c>
    </row>
    <row r="3" spans="1:38" ht="34.5" customHeight="1" thickTop="1" x14ac:dyDescent="0.2">
      <c r="A3" s="36">
        <v>1</v>
      </c>
      <c r="B3" s="38" t="s">
        <v>328</v>
      </c>
      <c r="C3" s="37" t="s">
        <v>327</v>
      </c>
      <c r="D3" s="36" t="s">
        <v>100</v>
      </c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43">
        <v>0.41666666666666669</v>
      </c>
      <c r="V3" s="43"/>
      <c r="W3" s="43"/>
      <c r="X3" s="39">
        <v>3</v>
      </c>
      <c r="Y3" s="39">
        <v>7</v>
      </c>
      <c r="Z3" s="25">
        <v>62.2</v>
      </c>
      <c r="AA3" s="36"/>
    </row>
    <row r="4" spans="1:38" ht="32.25" customHeight="1" x14ac:dyDescent="0.2">
      <c r="A4" s="5">
        <v>2</v>
      </c>
      <c r="B4" s="7">
        <v>160101</v>
      </c>
      <c r="C4" s="6" t="s">
        <v>329</v>
      </c>
      <c r="D4" s="36" t="s">
        <v>100</v>
      </c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40">
        <v>0.41666666666666669</v>
      </c>
      <c r="V4" s="40"/>
      <c r="W4" s="40"/>
      <c r="X4" s="1">
        <v>3</v>
      </c>
      <c r="Y4" s="1">
        <v>7</v>
      </c>
      <c r="Z4" s="25">
        <v>62.2</v>
      </c>
      <c r="AA4" s="5"/>
      <c r="AL4" t="s">
        <v>0</v>
      </c>
    </row>
    <row r="5" spans="1:38" ht="18" x14ac:dyDescent="0.2">
      <c r="A5" s="5">
        <v>3</v>
      </c>
      <c r="B5" s="7">
        <v>160191</v>
      </c>
      <c r="C5" s="8" t="s">
        <v>22</v>
      </c>
      <c r="D5" s="36" t="s">
        <v>100</v>
      </c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44">
        <v>0.125</v>
      </c>
      <c r="V5" s="44"/>
      <c r="W5" s="44"/>
      <c r="X5" s="5">
        <v>1</v>
      </c>
      <c r="Y5" s="1">
        <v>1</v>
      </c>
      <c r="Z5" s="25">
        <v>10.6</v>
      </c>
      <c r="AA5" s="5"/>
    </row>
    <row r="6" spans="1:38" ht="18" x14ac:dyDescent="0.2">
      <c r="A6" s="5">
        <v>4</v>
      </c>
      <c r="B6" s="7">
        <v>160195</v>
      </c>
      <c r="C6" s="8" t="s">
        <v>5</v>
      </c>
      <c r="D6" s="36" t="s">
        <v>100</v>
      </c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7"/>
      <c r="V6" s="7"/>
      <c r="W6" s="7"/>
      <c r="X6" s="5">
        <v>2</v>
      </c>
      <c r="Y6" s="1">
        <v>2</v>
      </c>
      <c r="Z6" s="25"/>
      <c r="AA6" s="5"/>
    </row>
    <row r="7" spans="1:38" ht="18" x14ac:dyDescent="0.2">
      <c r="A7" s="5">
        <v>5</v>
      </c>
      <c r="B7" s="7">
        <v>160200</v>
      </c>
      <c r="C7" s="8" t="s">
        <v>333</v>
      </c>
      <c r="D7" s="36" t="s">
        <v>100</v>
      </c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9">
        <v>0.25</v>
      </c>
      <c r="V7" s="9"/>
      <c r="W7" s="9"/>
      <c r="X7" s="5">
        <v>1</v>
      </c>
      <c r="Y7" s="1">
        <v>1</v>
      </c>
      <c r="Z7" s="25">
        <v>38.5</v>
      </c>
      <c r="AA7" s="1"/>
    </row>
    <row r="8" spans="1:38" ht="18" x14ac:dyDescent="0.2">
      <c r="A8" s="5">
        <v>6</v>
      </c>
      <c r="B8" s="7">
        <v>160220</v>
      </c>
      <c r="C8" s="8" t="s">
        <v>335</v>
      </c>
      <c r="D8" s="36" t="s">
        <v>100</v>
      </c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7"/>
      <c r="V8" s="7"/>
      <c r="W8" s="7"/>
      <c r="X8" s="5">
        <v>3</v>
      </c>
      <c r="Y8" s="1">
        <v>5</v>
      </c>
      <c r="Z8" s="25"/>
    </row>
    <row r="9" spans="1:38" ht="18" x14ac:dyDescent="0.2">
      <c r="A9" s="5">
        <v>7</v>
      </c>
      <c r="B9" s="7">
        <v>160211</v>
      </c>
      <c r="C9" s="8" t="s">
        <v>337</v>
      </c>
      <c r="D9" s="36" t="s">
        <v>100</v>
      </c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7"/>
      <c r="V9" s="7"/>
      <c r="W9" s="7"/>
      <c r="X9" s="5">
        <v>1</v>
      </c>
      <c r="Y9" s="1"/>
      <c r="Z9" s="25"/>
      <c r="AA9" s="1"/>
    </row>
    <row r="10" spans="1:38" ht="18" x14ac:dyDescent="0.2">
      <c r="A10" s="5">
        <v>8</v>
      </c>
      <c r="B10" s="7">
        <v>160213</v>
      </c>
      <c r="C10" s="8" t="s">
        <v>339</v>
      </c>
      <c r="D10" s="36" t="s">
        <v>100</v>
      </c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7"/>
      <c r="V10" s="7"/>
      <c r="W10" s="7"/>
      <c r="X10" s="5">
        <v>1</v>
      </c>
      <c r="Y10" s="1"/>
      <c r="Z10" s="25"/>
      <c r="AA10" s="1"/>
    </row>
    <row r="11" spans="1:38" ht="18" x14ac:dyDescent="0.2">
      <c r="A11" s="5">
        <v>9</v>
      </c>
      <c r="B11" s="7">
        <v>160301</v>
      </c>
      <c r="C11" s="8" t="s">
        <v>3</v>
      </c>
      <c r="D11" s="36" t="s">
        <v>100</v>
      </c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9">
        <v>0.16666666666666666</v>
      </c>
      <c r="V11" s="9"/>
      <c r="W11" s="9"/>
      <c r="X11" s="5">
        <v>1</v>
      </c>
      <c r="Y11" s="1">
        <v>2</v>
      </c>
      <c r="Z11" s="25">
        <v>39</v>
      </c>
      <c r="AA11" s="5"/>
    </row>
    <row r="12" spans="1:38" ht="18" x14ac:dyDescent="0.2">
      <c r="A12" s="5">
        <v>10</v>
      </c>
      <c r="B12" s="7">
        <v>160405</v>
      </c>
      <c r="C12" s="8" t="s">
        <v>341</v>
      </c>
      <c r="D12" s="36" t="s">
        <v>100</v>
      </c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9">
        <v>0.25</v>
      </c>
      <c r="V12" s="9"/>
      <c r="W12" s="9"/>
      <c r="X12" s="5">
        <v>1</v>
      </c>
      <c r="Y12" s="1"/>
      <c r="Z12" s="25">
        <v>22.5</v>
      </c>
      <c r="AA12" s="5"/>
    </row>
    <row r="13" spans="1:38" ht="18" x14ac:dyDescent="0.2">
      <c r="A13" s="5">
        <v>11</v>
      </c>
      <c r="B13" s="7">
        <v>160403</v>
      </c>
      <c r="C13" s="8" t="s">
        <v>343</v>
      </c>
      <c r="D13" s="36" t="s">
        <v>100</v>
      </c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9">
        <v>0.25</v>
      </c>
      <c r="V13" s="9"/>
      <c r="W13" s="9"/>
      <c r="X13" s="5">
        <v>1</v>
      </c>
      <c r="Y13" s="1"/>
      <c r="Z13" s="25"/>
      <c r="AA13" s="5"/>
    </row>
    <row r="14" spans="1:38" ht="18" x14ac:dyDescent="0.2">
      <c r="A14" s="5">
        <v>12</v>
      </c>
      <c r="B14" s="7">
        <v>160401</v>
      </c>
      <c r="C14" s="8" t="s">
        <v>344</v>
      </c>
      <c r="D14" s="36" t="s">
        <v>100</v>
      </c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9">
        <v>0.16666666666666666</v>
      </c>
      <c r="V14" s="9"/>
      <c r="W14" s="9"/>
      <c r="X14" s="5">
        <v>1</v>
      </c>
      <c r="Y14" s="1">
        <v>5</v>
      </c>
      <c r="Z14" s="25">
        <v>17.399999999999999</v>
      </c>
      <c r="AA14" s="5"/>
    </row>
    <row r="15" spans="1:38" ht="18" x14ac:dyDescent="0.2">
      <c r="A15" s="5">
        <v>13</v>
      </c>
      <c r="B15" s="7">
        <v>160471</v>
      </c>
      <c r="C15" s="8" t="s">
        <v>345</v>
      </c>
      <c r="D15" s="36" t="s">
        <v>100</v>
      </c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9"/>
      <c r="V15" s="9"/>
      <c r="W15" s="9"/>
      <c r="X15" s="5"/>
      <c r="Y15" s="1"/>
      <c r="Z15" s="25"/>
      <c r="AA15" s="5"/>
    </row>
    <row r="16" spans="1:38" ht="17.100000000000001" customHeight="1" x14ac:dyDescent="0.2">
      <c r="A16" s="5">
        <v>14</v>
      </c>
      <c r="B16" s="7">
        <v>160415</v>
      </c>
      <c r="C16" s="8" t="s">
        <v>347</v>
      </c>
      <c r="D16" s="36" t="s">
        <v>100</v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9"/>
      <c r="V16" s="9"/>
      <c r="W16" s="9"/>
      <c r="X16" s="5">
        <v>2</v>
      </c>
      <c r="Y16" s="1"/>
      <c r="Z16" s="25"/>
      <c r="AA16" s="5"/>
    </row>
    <row r="17" spans="1:27" ht="17.100000000000001" customHeight="1" x14ac:dyDescent="0.2">
      <c r="A17" s="5">
        <v>15</v>
      </c>
      <c r="B17" s="7">
        <v>160413</v>
      </c>
      <c r="C17" s="8" t="s">
        <v>349</v>
      </c>
      <c r="D17" s="36" t="s">
        <v>100</v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9"/>
      <c r="V17" s="9"/>
      <c r="W17" s="9"/>
      <c r="X17" s="5">
        <v>2</v>
      </c>
      <c r="Y17" s="1"/>
      <c r="Z17" s="25"/>
      <c r="AA17" s="5"/>
    </row>
    <row r="18" spans="1:27" ht="17.100000000000001" customHeight="1" x14ac:dyDescent="0.2">
      <c r="A18" s="5">
        <v>16</v>
      </c>
      <c r="B18" s="7">
        <v>160411</v>
      </c>
      <c r="C18" s="8" t="s">
        <v>350</v>
      </c>
      <c r="D18" s="36" t="s">
        <v>100</v>
      </c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9"/>
      <c r="V18" s="9"/>
      <c r="W18" s="9"/>
      <c r="X18" s="5">
        <v>2</v>
      </c>
      <c r="Y18" s="1"/>
      <c r="Z18" s="25"/>
      <c r="AA18" s="5"/>
    </row>
    <row r="19" spans="1:27" ht="18" x14ac:dyDescent="0.2">
      <c r="A19" s="5">
        <v>17</v>
      </c>
      <c r="B19" s="7">
        <v>160472</v>
      </c>
      <c r="C19" s="8" t="s">
        <v>351</v>
      </c>
      <c r="D19" s="36" t="s">
        <v>100</v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9"/>
      <c r="V19" s="9"/>
      <c r="W19" s="9"/>
      <c r="X19" s="5"/>
      <c r="Y19" s="1"/>
      <c r="Z19" s="25"/>
      <c r="AA19" s="5"/>
    </row>
    <row r="20" spans="1:27" ht="18" x14ac:dyDescent="0.2">
      <c r="A20" s="5">
        <v>18</v>
      </c>
      <c r="B20" s="7">
        <v>160561</v>
      </c>
      <c r="C20" s="8" t="s">
        <v>353</v>
      </c>
      <c r="D20" s="36" t="s">
        <v>100</v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9"/>
      <c r="V20" s="9"/>
      <c r="W20" s="9"/>
      <c r="X20" s="5"/>
      <c r="Y20" s="1"/>
      <c r="Z20" s="25"/>
      <c r="AA20" s="5"/>
    </row>
    <row r="21" spans="1:27" ht="17.100000000000001" customHeight="1" x14ac:dyDescent="0.2">
      <c r="A21" s="5">
        <v>19</v>
      </c>
      <c r="B21" s="7">
        <v>160177</v>
      </c>
      <c r="C21" s="8" t="s">
        <v>355</v>
      </c>
      <c r="D21" s="36" t="s">
        <v>100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9"/>
      <c r="V21" s="9"/>
      <c r="W21" s="9"/>
      <c r="X21" s="5">
        <v>1</v>
      </c>
      <c r="Y21" s="1"/>
      <c r="Z21" s="25"/>
      <c r="AA21" s="5"/>
    </row>
    <row r="22" spans="1:27" ht="17.100000000000001" customHeight="1" x14ac:dyDescent="0.2">
      <c r="A22" s="5">
        <v>20</v>
      </c>
      <c r="B22" s="7">
        <v>160171</v>
      </c>
      <c r="C22" s="8" t="s">
        <v>357</v>
      </c>
      <c r="D22" s="36" t="s">
        <v>100</v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9">
        <v>6.9444444444444441E-3</v>
      </c>
      <c r="V22" s="9"/>
      <c r="W22" s="9"/>
      <c r="X22" s="5">
        <v>1</v>
      </c>
      <c r="Y22" s="1">
        <v>1</v>
      </c>
      <c r="Z22" s="25">
        <v>10.5</v>
      </c>
      <c r="AA22" s="5"/>
    </row>
    <row r="23" spans="1:27" ht="17.100000000000001" customHeight="1" x14ac:dyDescent="0.2">
      <c r="A23" s="5">
        <v>21</v>
      </c>
      <c r="B23" s="7">
        <v>160178</v>
      </c>
      <c r="C23" s="8" t="s">
        <v>359</v>
      </c>
      <c r="D23" s="36" t="s">
        <v>100</v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9"/>
      <c r="V23" s="9"/>
      <c r="W23" s="9"/>
      <c r="X23" s="5">
        <v>1</v>
      </c>
      <c r="Y23" s="1"/>
      <c r="Z23" s="25"/>
      <c r="AA23" s="5"/>
    </row>
    <row r="24" spans="1:27" ht="17.100000000000001" customHeight="1" x14ac:dyDescent="0.2">
      <c r="A24" s="5">
        <v>22</v>
      </c>
      <c r="B24" s="7">
        <v>160521</v>
      </c>
      <c r="C24" s="8" t="s">
        <v>361</v>
      </c>
      <c r="D24" s="36" t="s">
        <v>100</v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9">
        <v>0.66666666666666663</v>
      </c>
      <c r="V24" s="9"/>
      <c r="W24" s="9"/>
      <c r="X24" s="5">
        <v>1</v>
      </c>
      <c r="Y24" s="1"/>
      <c r="Z24" s="25">
        <v>70</v>
      </c>
      <c r="AA24" s="5"/>
    </row>
    <row r="25" spans="1:27" ht="17.100000000000001" customHeight="1" x14ac:dyDescent="0.2">
      <c r="A25" s="5">
        <v>23</v>
      </c>
      <c r="B25" s="7">
        <v>160501</v>
      </c>
      <c r="C25" s="8" t="s">
        <v>363</v>
      </c>
      <c r="D25" s="36" t="s">
        <v>100</v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9">
        <v>0.91666666666666663</v>
      </c>
      <c r="V25" s="9"/>
      <c r="W25" s="9"/>
      <c r="X25" s="5">
        <v>1</v>
      </c>
      <c r="Y25" s="1"/>
      <c r="Z25" s="25">
        <v>83</v>
      </c>
      <c r="AA25" s="5"/>
    </row>
    <row r="26" spans="1:27" ht="17.100000000000001" customHeight="1" x14ac:dyDescent="0.2">
      <c r="A26" s="5">
        <v>24</v>
      </c>
      <c r="B26" s="7">
        <v>160425</v>
      </c>
      <c r="C26" s="8" t="s">
        <v>365</v>
      </c>
      <c r="D26" s="36" t="s">
        <v>100</v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9">
        <v>0.16666666666666666</v>
      </c>
      <c r="V26" s="9"/>
      <c r="W26" s="9"/>
      <c r="X26" s="5">
        <v>1</v>
      </c>
      <c r="Y26" s="1">
        <v>1</v>
      </c>
      <c r="Z26" s="25"/>
      <c r="AA26" s="5"/>
    </row>
    <row r="27" spans="1:27" ht="17.100000000000001" customHeight="1" x14ac:dyDescent="0.2">
      <c r="A27" s="5">
        <v>25</v>
      </c>
      <c r="B27" s="7">
        <v>160423</v>
      </c>
      <c r="C27" s="8" t="s">
        <v>366</v>
      </c>
      <c r="D27" s="36" t="s">
        <v>100</v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9">
        <v>0.16666666666666666</v>
      </c>
      <c r="V27" s="9"/>
      <c r="W27" s="9"/>
      <c r="X27" s="5">
        <v>1</v>
      </c>
      <c r="Y27" s="1">
        <v>1</v>
      </c>
      <c r="Z27" s="25"/>
      <c r="AA27" s="5"/>
    </row>
    <row r="28" spans="1:27" ht="17.100000000000001" customHeight="1" x14ac:dyDescent="0.2">
      <c r="A28" s="5">
        <v>26</v>
      </c>
      <c r="B28" s="7">
        <v>160421</v>
      </c>
      <c r="C28" s="8" t="s">
        <v>367</v>
      </c>
      <c r="D28" s="36" t="s">
        <v>100</v>
      </c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9">
        <v>0.16666666666666666</v>
      </c>
      <c r="V28" s="9"/>
      <c r="W28" s="9"/>
      <c r="X28" s="5">
        <v>1</v>
      </c>
      <c r="Y28" s="1"/>
      <c r="Z28" s="25"/>
      <c r="AA28" s="5"/>
    </row>
    <row r="29" spans="1:27" ht="18" x14ac:dyDescent="0.2">
      <c r="A29" s="5">
        <v>27</v>
      </c>
      <c r="B29" s="7">
        <v>160621</v>
      </c>
      <c r="C29" s="8" t="s">
        <v>368</v>
      </c>
      <c r="D29" s="36" t="s">
        <v>100</v>
      </c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9"/>
      <c r="V29" s="9"/>
      <c r="W29" s="9"/>
      <c r="X29" s="5"/>
      <c r="Y29" s="1"/>
      <c r="Z29" s="25"/>
      <c r="AA29" s="5"/>
    </row>
    <row r="30" spans="1:27" ht="18" x14ac:dyDescent="0.2">
      <c r="A30" s="5">
        <v>28</v>
      </c>
      <c r="B30" s="7">
        <v>160611</v>
      </c>
      <c r="C30" s="8" t="s">
        <v>370</v>
      </c>
      <c r="D30" s="36" t="s">
        <v>100</v>
      </c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9">
        <v>0.29166666666666669</v>
      </c>
      <c r="V30" s="9"/>
      <c r="W30" s="9"/>
      <c r="X30" s="5">
        <v>1</v>
      </c>
      <c r="Y30" s="1"/>
      <c r="Z30" s="25">
        <v>23.8</v>
      </c>
      <c r="AA30" s="5"/>
    </row>
    <row r="31" spans="1:27" ht="18" x14ac:dyDescent="0.2">
      <c r="A31" s="5">
        <v>29</v>
      </c>
      <c r="B31" s="7">
        <v>160791</v>
      </c>
      <c r="C31" s="8" t="s">
        <v>372</v>
      </c>
      <c r="D31" s="36" t="s">
        <v>100</v>
      </c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9"/>
      <c r="V31" s="9"/>
      <c r="W31" s="9"/>
      <c r="X31" s="5"/>
      <c r="Y31" s="1"/>
      <c r="Z31" s="25"/>
      <c r="AA31" s="5"/>
    </row>
    <row r="32" spans="1:27" ht="18" x14ac:dyDescent="0.2">
      <c r="A32" s="5">
        <v>30</v>
      </c>
      <c r="B32" s="7">
        <v>160701</v>
      </c>
      <c r="C32" s="8" t="s">
        <v>373</v>
      </c>
      <c r="D32" s="36" t="s">
        <v>100</v>
      </c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9"/>
      <c r="V32" s="9"/>
      <c r="W32" s="9"/>
      <c r="X32" s="5"/>
      <c r="Y32" s="1"/>
      <c r="Z32" s="25"/>
      <c r="AA32" s="5"/>
    </row>
    <row r="33" spans="1:27" ht="18" x14ac:dyDescent="0.2">
      <c r="A33" s="5">
        <v>31</v>
      </c>
      <c r="B33" s="7">
        <v>160705</v>
      </c>
      <c r="C33" s="8" t="s">
        <v>373</v>
      </c>
      <c r="D33" s="36" t="s">
        <v>100</v>
      </c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9"/>
      <c r="V33" s="9"/>
      <c r="W33" s="9"/>
      <c r="X33" s="5"/>
      <c r="Y33" s="1"/>
      <c r="Z33" s="25"/>
      <c r="AA33" s="5"/>
    </row>
    <row r="34" spans="1:27" ht="18" x14ac:dyDescent="0.2">
      <c r="A34" s="5">
        <v>32</v>
      </c>
      <c r="B34" s="7">
        <v>160711</v>
      </c>
      <c r="C34" s="8" t="s">
        <v>376</v>
      </c>
      <c r="D34" s="36" t="s">
        <v>100</v>
      </c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9"/>
      <c r="V34" s="9"/>
      <c r="W34" s="9"/>
      <c r="X34" s="5"/>
      <c r="Y34" s="1"/>
      <c r="Z34" s="25"/>
      <c r="AA34" s="5"/>
    </row>
    <row r="35" spans="1:27" ht="18" x14ac:dyDescent="0.2">
      <c r="A35" s="5">
        <v>33</v>
      </c>
      <c r="B35" s="7">
        <v>160715</v>
      </c>
      <c r="C35" s="8" t="s">
        <v>376</v>
      </c>
      <c r="D35" s="36" t="s">
        <v>100</v>
      </c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9"/>
      <c r="V35" s="9"/>
      <c r="W35" s="9"/>
      <c r="X35" s="5"/>
      <c r="Y35" s="1"/>
      <c r="Z35" s="25"/>
      <c r="AA35" s="5"/>
    </row>
    <row r="36" spans="1:27" ht="18" x14ac:dyDescent="0.2">
      <c r="A36" s="5">
        <v>34</v>
      </c>
      <c r="B36" s="7">
        <v>160761</v>
      </c>
      <c r="C36" s="8" t="s">
        <v>379</v>
      </c>
      <c r="D36" s="36" t="s">
        <v>100</v>
      </c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9"/>
      <c r="V36" s="9"/>
      <c r="W36" s="9"/>
      <c r="X36" s="5"/>
      <c r="Y36" s="1"/>
      <c r="Z36" s="25"/>
      <c r="AA36" s="5"/>
    </row>
    <row r="37" spans="1:27" ht="34.15" customHeight="1" x14ac:dyDescent="0.2">
      <c r="A37" s="5">
        <v>35</v>
      </c>
      <c r="B37" s="7" t="s">
        <v>330</v>
      </c>
      <c r="C37" s="6" t="s">
        <v>329</v>
      </c>
      <c r="D37" s="36" t="s">
        <v>63</v>
      </c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42">
        <v>0.45833333333333331</v>
      </c>
      <c r="V37" s="42"/>
      <c r="W37" s="42"/>
      <c r="X37" s="1">
        <v>3</v>
      </c>
      <c r="Y37" s="1">
        <v>7</v>
      </c>
      <c r="Z37" s="25">
        <v>65.3</v>
      </c>
      <c r="AA37" s="5"/>
    </row>
    <row r="38" spans="1:27" ht="17.100000000000001" customHeight="1" x14ac:dyDescent="0.2">
      <c r="A38" s="5">
        <v>36</v>
      </c>
      <c r="B38" s="7" t="s">
        <v>331</v>
      </c>
      <c r="C38" s="8" t="s">
        <v>22</v>
      </c>
      <c r="D38" s="36" t="s">
        <v>63</v>
      </c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9">
        <v>0.16666666666666666</v>
      </c>
      <c r="V38" s="9"/>
      <c r="W38" s="9"/>
      <c r="X38" s="5">
        <v>1</v>
      </c>
      <c r="Y38" s="1">
        <v>1</v>
      </c>
      <c r="Z38" s="25">
        <v>10.5</v>
      </c>
      <c r="AA38" s="5"/>
    </row>
    <row r="39" spans="1:27" ht="17.100000000000001" customHeight="1" x14ac:dyDescent="0.2">
      <c r="A39" s="5">
        <v>37</v>
      </c>
      <c r="B39" s="7" t="s">
        <v>332</v>
      </c>
      <c r="C39" s="8" t="s">
        <v>5</v>
      </c>
      <c r="D39" s="36" t="s">
        <v>63</v>
      </c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9"/>
      <c r="V39" s="9"/>
      <c r="W39" s="9"/>
      <c r="X39" s="5">
        <v>2</v>
      </c>
      <c r="Y39" s="1">
        <v>2</v>
      </c>
      <c r="Z39" s="25"/>
      <c r="AA39" s="5"/>
    </row>
    <row r="40" spans="1:27" ht="17.100000000000001" customHeight="1" x14ac:dyDescent="0.2">
      <c r="A40" s="5">
        <v>38</v>
      </c>
      <c r="B40" s="7" t="s">
        <v>334</v>
      </c>
      <c r="C40" s="8" t="s">
        <v>333</v>
      </c>
      <c r="D40" s="36" t="s">
        <v>63</v>
      </c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9">
        <v>0.33333333333333331</v>
      </c>
      <c r="V40" s="9"/>
      <c r="W40" s="9"/>
      <c r="X40" s="5">
        <v>1</v>
      </c>
      <c r="Y40" s="1">
        <v>1</v>
      </c>
      <c r="Z40" s="25" t="s">
        <v>1235</v>
      </c>
      <c r="AA40" s="1"/>
    </row>
    <row r="41" spans="1:27" ht="17.100000000000001" customHeight="1" x14ac:dyDescent="0.2">
      <c r="A41" s="5">
        <v>39</v>
      </c>
      <c r="B41" s="7" t="s">
        <v>336</v>
      </c>
      <c r="C41" s="8" t="s">
        <v>335</v>
      </c>
      <c r="D41" s="36" t="s">
        <v>63</v>
      </c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9"/>
      <c r="V41" s="9"/>
      <c r="W41" s="9"/>
      <c r="X41" s="5">
        <v>3</v>
      </c>
      <c r="Y41" s="1">
        <v>5</v>
      </c>
      <c r="Z41" s="25"/>
      <c r="AA41" s="1"/>
    </row>
    <row r="42" spans="1:27" ht="17.100000000000001" customHeight="1" x14ac:dyDescent="0.2">
      <c r="A42" s="5">
        <v>40</v>
      </c>
      <c r="B42" s="7" t="s">
        <v>338</v>
      </c>
      <c r="C42" s="8" t="s">
        <v>337</v>
      </c>
      <c r="D42" s="36" t="s">
        <v>63</v>
      </c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9"/>
      <c r="V42" s="9"/>
      <c r="W42" s="9"/>
      <c r="X42" s="5">
        <v>1</v>
      </c>
      <c r="Y42" s="1"/>
      <c r="Z42" s="25"/>
      <c r="AA42" s="1"/>
    </row>
    <row r="43" spans="1:27" ht="17.100000000000001" customHeight="1" x14ac:dyDescent="0.2">
      <c r="A43" s="5">
        <v>41</v>
      </c>
      <c r="B43" s="7">
        <v>161213</v>
      </c>
      <c r="C43" s="8" t="s">
        <v>339</v>
      </c>
      <c r="D43" s="36" t="s">
        <v>63</v>
      </c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9"/>
      <c r="V43" s="9"/>
      <c r="W43" s="9"/>
      <c r="X43" s="5">
        <v>1</v>
      </c>
      <c r="Y43" s="1"/>
      <c r="Z43" s="25"/>
      <c r="AA43" s="1"/>
    </row>
    <row r="44" spans="1:27" ht="17.100000000000001" customHeight="1" x14ac:dyDescent="0.2">
      <c r="A44" s="5">
        <v>42</v>
      </c>
      <c r="B44" s="7" t="s">
        <v>340</v>
      </c>
      <c r="C44" s="8" t="s">
        <v>3</v>
      </c>
      <c r="D44" s="36" t="s">
        <v>63</v>
      </c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9">
        <v>0.16666666666666666</v>
      </c>
      <c r="V44" s="9"/>
      <c r="W44" s="9"/>
      <c r="X44" s="5">
        <v>1</v>
      </c>
      <c r="Y44" s="1">
        <v>2</v>
      </c>
      <c r="Z44" s="25">
        <v>39</v>
      </c>
      <c r="AA44" s="5"/>
    </row>
    <row r="45" spans="1:27" ht="17.100000000000001" customHeight="1" x14ac:dyDescent="0.2">
      <c r="A45" s="5">
        <v>43</v>
      </c>
      <c r="B45" s="7" t="s">
        <v>342</v>
      </c>
      <c r="C45" s="8" t="s">
        <v>341</v>
      </c>
      <c r="D45" s="36" t="s">
        <v>63</v>
      </c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9">
        <v>0.25</v>
      </c>
      <c r="V45" s="9"/>
      <c r="W45" s="9"/>
      <c r="X45" s="5">
        <v>1</v>
      </c>
      <c r="Y45" s="1">
        <v>5</v>
      </c>
      <c r="Z45" s="25">
        <v>22</v>
      </c>
      <c r="AA45" s="5"/>
    </row>
    <row r="46" spans="1:27" ht="15" customHeight="1" x14ac:dyDescent="0.2">
      <c r="A46" s="5">
        <v>44</v>
      </c>
      <c r="B46" s="7">
        <v>161403</v>
      </c>
      <c r="C46" s="8" t="s">
        <v>343</v>
      </c>
      <c r="D46" s="36" t="s">
        <v>63</v>
      </c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9">
        <v>0.25</v>
      </c>
      <c r="V46" s="9"/>
      <c r="W46" s="9"/>
      <c r="X46" s="5">
        <v>1</v>
      </c>
      <c r="Y46" s="1">
        <v>5</v>
      </c>
      <c r="Z46" s="25">
        <v>22.4</v>
      </c>
      <c r="AA46" s="5"/>
    </row>
    <row r="47" spans="1:27" ht="17.100000000000001" customHeight="1" x14ac:dyDescent="0.2">
      <c r="A47" s="5">
        <v>45</v>
      </c>
      <c r="B47" s="7">
        <v>161401</v>
      </c>
      <c r="C47" s="8" t="s">
        <v>344</v>
      </c>
      <c r="D47" s="36" t="s">
        <v>63</v>
      </c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9">
        <v>0.16666666666666666</v>
      </c>
      <c r="V47" s="9"/>
      <c r="W47" s="9"/>
      <c r="X47" s="5">
        <v>1</v>
      </c>
      <c r="Y47" s="1">
        <v>5</v>
      </c>
      <c r="Z47" s="25">
        <v>15.5</v>
      </c>
      <c r="AA47" s="5"/>
    </row>
    <row r="48" spans="1:27" ht="18" x14ac:dyDescent="0.2">
      <c r="A48" s="5">
        <v>46</v>
      </c>
      <c r="B48" s="7" t="s">
        <v>346</v>
      </c>
      <c r="C48" s="8" t="s">
        <v>345</v>
      </c>
      <c r="D48" s="36" t="s">
        <v>63</v>
      </c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9"/>
      <c r="V48" s="9"/>
      <c r="W48" s="9"/>
      <c r="X48" s="5"/>
      <c r="Y48" s="1"/>
      <c r="Z48" s="25"/>
      <c r="AA48" s="5"/>
    </row>
    <row r="49" spans="1:27" ht="17.100000000000001" customHeight="1" x14ac:dyDescent="0.2">
      <c r="A49" s="5">
        <v>47</v>
      </c>
      <c r="B49" s="7" t="s">
        <v>348</v>
      </c>
      <c r="C49" s="8" t="s">
        <v>347</v>
      </c>
      <c r="D49" s="36" t="s">
        <v>63</v>
      </c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9"/>
      <c r="V49" s="9"/>
      <c r="W49" s="9"/>
      <c r="X49" s="5">
        <v>1</v>
      </c>
      <c r="Y49" s="1"/>
      <c r="Z49" s="25"/>
      <c r="AA49" s="5"/>
    </row>
    <row r="50" spans="1:27" ht="17.100000000000001" customHeight="1" x14ac:dyDescent="0.2">
      <c r="A50" s="5">
        <v>48</v>
      </c>
      <c r="B50" s="7">
        <v>161413</v>
      </c>
      <c r="C50" s="8" t="s">
        <v>349</v>
      </c>
      <c r="D50" s="36" t="s">
        <v>63</v>
      </c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9"/>
      <c r="V50" s="9"/>
      <c r="W50" s="9"/>
      <c r="X50" s="5">
        <v>1</v>
      </c>
      <c r="Y50" s="1"/>
      <c r="Z50" s="25"/>
      <c r="AA50" s="5"/>
    </row>
    <row r="51" spans="1:27" ht="17.100000000000001" customHeight="1" x14ac:dyDescent="0.2">
      <c r="A51" s="5">
        <v>49</v>
      </c>
      <c r="B51" s="7">
        <v>161411</v>
      </c>
      <c r="C51" s="8" t="s">
        <v>350</v>
      </c>
      <c r="D51" s="36" t="s">
        <v>63</v>
      </c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9"/>
      <c r="V51" s="9"/>
      <c r="W51" s="9"/>
      <c r="X51" s="5">
        <v>2</v>
      </c>
      <c r="Y51" s="1"/>
      <c r="Z51" s="25"/>
      <c r="AA51" s="5"/>
    </row>
    <row r="52" spans="1:27" ht="18" x14ac:dyDescent="0.2">
      <c r="A52" s="5">
        <v>50</v>
      </c>
      <c r="B52" s="7" t="s">
        <v>352</v>
      </c>
      <c r="C52" s="8" t="s">
        <v>351</v>
      </c>
      <c r="D52" s="36" t="s">
        <v>63</v>
      </c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9"/>
      <c r="V52" s="9"/>
      <c r="W52" s="9"/>
      <c r="X52" s="5"/>
      <c r="Y52" s="1"/>
      <c r="Z52" s="25"/>
      <c r="AA52" s="5"/>
    </row>
    <row r="53" spans="1:27" ht="18" x14ac:dyDescent="0.2">
      <c r="A53" s="5">
        <v>51</v>
      </c>
      <c r="B53" s="7" t="s">
        <v>354</v>
      </c>
      <c r="C53" s="8" t="s">
        <v>353</v>
      </c>
      <c r="D53" s="36" t="s">
        <v>63</v>
      </c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9"/>
      <c r="V53" s="9"/>
      <c r="W53" s="9"/>
      <c r="X53" s="5"/>
      <c r="Y53" s="1"/>
      <c r="Z53" s="25"/>
      <c r="AA53" s="5"/>
    </row>
    <row r="54" spans="1:27" ht="17.100000000000001" customHeight="1" x14ac:dyDescent="0.2">
      <c r="A54" s="5">
        <v>52</v>
      </c>
      <c r="B54" s="7" t="s">
        <v>356</v>
      </c>
      <c r="C54" s="8" t="s">
        <v>355</v>
      </c>
      <c r="D54" s="36" t="s">
        <v>63</v>
      </c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9">
        <v>8.3333333333333329E-2</v>
      </c>
      <c r="V54" s="9"/>
      <c r="W54" s="9"/>
      <c r="X54" s="5">
        <v>1</v>
      </c>
      <c r="Y54" s="1">
        <v>3</v>
      </c>
      <c r="Z54" s="25">
        <v>13</v>
      </c>
      <c r="AA54" s="5"/>
    </row>
    <row r="55" spans="1:27" ht="17.100000000000001" customHeight="1" x14ac:dyDescent="0.2">
      <c r="A55" s="5">
        <v>53</v>
      </c>
      <c r="B55" s="7" t="s">
        <v>358</v>
      </c>
      <c r="C55" s="8" t="s">
        <v>357</v>
      </c>
      <c r="D55" s="36" t="s">
        <v>63</v>
      </c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9">
        <v>6.9444444444444441E-3</v>
      </c>
      <c r="V55" s="9"/>
      <c r="W55" s="9"/>
      <c r="X55" s="5">
        <v>1</v>
      </c>
      <c r="Y55" s="1">
        <v>1</v>
      </c>
      <c r="Z55" s="25">
        <v>10.6</v>
      </c>
      <c r="AA55" s="5"/>
    </row>
    <row r="56" spans="1:27" ht="17.100000000000001" customHeight="1" x14ac:dyDescent="0.2">
      <c r="A56" s="5">
        <v>54</v>
      </c>
      <c r="B56" s="7" t="s">
        <v>360</v>
      </c>
      <c r="C56" s="8" t="s">
        <v>359</v>
      </c>
      <c r="D56" s="36" t="s">
        <v>63</v>
      </c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9">
        <v>4.1666666666666664E-2</v>
      </c>
      <c r="V56" s="9"/>
      <c r="W56" s="9"/>
      <c r="X56" s="5">
        <v>1</v>
      </c>
      <c r="Y56" s="1">
        <v>1</v>
      </c>
      <c r="Z56" s="25">
        <v>11.2</v>
      </c>
      <c r="AA56" s="5"/>
    </row>
    <row r="57" spans="1:27" ht="17.100000000000001" customHeight="1" x14ac:dyDescent="0.2">
      <c r="A57" s="5">
        <v>55</v>
      </c>
      <c r="B57" s="7" t="s">
        <v>362</v>
      </c>
      <c r="C57" s="8" t="s">
        <v>361</v>
      </c>
      <c r="D57" s="36" t="s">
        <v>63</v>
      </c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9">
        <v>0.66666666666666663</v>
      </c>
      <c r="V57" s="9"/>
      <c r="W57" s="9"/>
      <c r="X57" s="5">
        <v>1</v>
      </c>
      <c r="Y57" s="1">
        <v>4</v>
      </c>
      <c r="Z57" s="25">
        <v>65.900000000000006</v>
      </c>
      <c r="AA57" s="5"/>
    </row>
    <row r="58" spans="1:27" ht="17.100000000000001" customHeight="1" x14ac:dyDescent="0.2">
      <c r="A58" s="5">
        <v>56</v>
      </c>
      <c r="B58" s="7" t="s">
        <v>364</v>
      </c>
      <c r="C58" s="8" t="s">
        <v>363</v>
      </c>
      <c r="D58" s="36" t="s">
        <v>63</v>
      </c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40">
        <v>0.91666666666666663</v>
      </c>
      <c r="V58" s="40"/>
      <c r="W58" s="40"/>
      <c r="X58" s="5">
        <v>1</v>
      </c>
      <c r="Y58" s="1">
        <v>12</v>
      </c>
      <c r="Z58" s="25">
        <v>85</v>
      </c>
      <c r="AA58" s="5"/>
    </row>
    <row r="59" spans="1:27" ht="17.100000000000001" customHeight="1" x14ac:dyDescent="0.2">
      <c r="A59" s="5">
        <v>57</v>
      </c>
      <c r="B59" s="7">
        <v>161425</v>
      </c>
      <c r="C59" s="8" t="s">
        <v>365</v>
      </c>
      <c r="D59" s="36" t="s">
        <v>63</v>
      </c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9">
        <v>0.33333333333333331</v>
      </c>
      <c r="V59" s="9"/>
      <c r="W59" s="9"/>
      <c r="X59" s="5">
        <v>1</v>
      </c>
      <c r="Y59" s="1">
        <v>1</v>
      </c>
      <c r="Z59" s="41">
        <v>27.4</v>
      </c>
      <c r="AA59" s="5"/>
    </row>
    <row r="60" spans="1:27" ht="17.100000000000001" customHeight="1" x14ac:dyDescent="0.2">
      <c r="A60" s="5">
        <v>58</v>
      </c>
      <c r="B60" s="7">
        <v>161423</v>
      </c>
      <c r="C60" s="8" t="s">
        <v>366</v>
      </c>
      <c r="D60" s="36" t="s">
        <v>63</v>
      </c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9">
        <v>0.16666666666666666</v>
      </c>
      <c r="V60" s="9"/>
      <c r="W60" s="9"/>
      <c r="X60" s="5">
        <v>1</v>
      </c>
      <c r="Y60" s="1">
        <v>1</v>
      </c>
      <c r="Z60" s="25"/>
      <c r="AA60" s="5"/>
    </row>
    <row r="61" spans="1:27" ht="17.100000000000001" customHeight="1" x14ac:dyDescent="0.2">
      <c r="A61" s="5">
        <v>59</v>
      </c>
      <c r="B61" s="7">
        <v>161421</v>
      </c>
      <c r="C61" s="8" t="s">
        <v>367</v>
      </c>
      <c r="D61" s="36" t="s">
        <v>63</v>
      </c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9">
        <v>0.16666666666666666</v>
      </c>
      <c r="V61" s="9"/>
      <c r="W61" s="9"/>
      <c r="X61" s="5">
        <v>1</v>
      </c>
      <c r="Y61" s="1"/>
      <c r="Z61" s="25"/>
      <c r="AA61" s="5"/>
    </row>
    <row r="62" spans="1:27" ht="18" x14ac:dyDescent="0.2">
      <c r="A62" s="5">
        <v>60</v>
      </c>
      <c r="B62" s="7" t="s">
        <v>369</v>
      </c>
      <c r="C62" s="8" t="s">
        <v>368</v>
      </c>
      <c r="D62" s="36" t="s">
        <v>63</v>
      </c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9">
        <v>0.16666666666666666</v>
      </c>
      <c r="V62" s="9"/>
      <c r="W62" s="9"/>
      <c r="X62" s="5">
        <v>1</v>
      </c>
      <c r="Y62" s="1"/>
      <c r="Z62" s="25">
        <v>26</v>
      </c>
      <c r="AA62" s="5"/>
    </row>
    <row r="63" spans="1:27" ht="18" x14ac:dyDescent="0.2">
      <c r="A63" s="5">
        <v>61</v>
      </c>
      <c r="B63" s="7" t="s">
        <v>371</v>
      </c>
      <c r="C63" s="8" t="s">
        <v>370</v>
      </c>
      <c r="D63" s="36" t="s">
        <v>63</v>
      </c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9"/>
      <c r="V63" s="9"/>
      <c r="W63" s="9"/>
      <c r="X63" s="5"/>
      <c r="Y63" s="1"/>
      <c r="Z63" s="25"/>
      <c r="AA63" s="5"/>
    </row>
    <row r="64" spans="1:27" ht="18" x14ac:dyDescent="0.2">
      <c r="A64" s="5">
        <v>62</v>
      </c>
      <c r="B64" s="7">
        <v>161791</v>
      </c>
      <c r="C64" s="8" t="s">
        <v>372</v>
      </c>
      <c r="D64" s="36" t="s">
        <v>63</v>
      </c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9"/>
      <c r="V64" s="9"/>
      <c r="W64" s="9"/>
      <c r="X64" s="5"/>
      <c r="Y64" s="1"/>
      <c r="Z64" s="25"/>
      <c r="AA64" s="5"/>
    </row>
    <row r="65" spans="1:27" ht="18" x14ac:dyDescent="0.2">
      <c r="A65" s="5">
        <v>63</v>
      </c>
      <c r="B65" s="7" t="s">
        <v>374</v>
      </c>
      <c r="C65" s="8" t="s">
        <v>373</v>
      </c>
      <c r="D65" s="36" t="s">
        <v>63</v>
      </c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9"/>
      <c r="V65" s="9"/>
      <c r="W65" s="9"/>
      <c r="X65" s="5"/>
      <c r="Y65" s="1"/>
      <c r="Z65" s="25">
        <v>1.3</v>
      </c>
      <c r="AA65" s="5"/>
    </row>
    <row r="66" spans="1:27" ht="18" x14ac:dyDescent="0.2">
      <c r="A66" s="5">
        <v>64</v>
      </c>
      <c r="B66" s="7" t="s">
        <v>375</v>
      </c>
      <c r="C66" s="8" t="s">
        <v>373</v>
      </c>
      <c r="D66" s="36" t="s">
        <v>63</v>
      </c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9"/>
      <c r="V66" s="9"/>
      <c r="W66" s="9"/>
      <c r="X66" s="5"/>
      <c r="Y66" s="1"/>
      <c r="Z66" s="25"/>
      <c r="AA66" s="5"/>
    </row>
    <row r="67" spans="1:27" ht="18" x14ac:dyDescent="0.2">
      <c r="A67" s="5">
        <v>65</v>
      </c>
      <c r="B67" s="7" t="s">
        <v>377</v>
      </c>
      <c r="C67" s="8" t="s">
        <v>376</v>
      </c>
      <c r="D67" s="36" t="s">
        <v>63</v>
      </c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9"/>
      <c r="V67" s="9"/>
      <c r="W67" s="9"/>
      <c r="X67" s="5"/>
      <c r="Y67" s="1"/>
      <c r="Z67" s="25"/>
      <c r="AA67" s="5"/>
    </row>
    <row r="68" spans="1:27" ht="18" x14ac:dyDescent="0.2">
      <c r="A68" s="5">
        <v>66</v>
      </c>
      <c r="B68" s="7" t="s">
        <v>378</v>
      </c>
      <c r="C68" s="8" t="s">
        <v>376</v>
      </c>
      <c r="D68" s="36" t="s">
        <v>63</v>
      </c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9"/>
      <c r="V68" s="9"/>
      <c r="W68" s="9"/>
      <c r="X68" s="5"/>
      <c r="Y68" s="1"/>
      <c r="Z68" s="25"/>
      <c r="AA68" s="5"/>
    </row>
    <row r="69" spans="1:27" ht="18" x14ac:dyDescent="0.2">
      <c r="A69" s="5">
        <v>67</v>
      </c>
      <c r="B69" s="7">
        <v>161761</v>
      </c>
      <c r="C69" s="8" t="s">
        <v>379</v>
      </c>
      <c r="D69" s="36" t="s">
        <v>63</v>
      </c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9"/>
      <c r="V69" s="9"/>
      <c r="W69" s="9"/>
      <c r="X69" s="5"/>
      <c r="Y69" s="1"/>
      <c r="Z69" s="25"/>
      <c r="AA69" s="5"/>
    </row>
    <row r="70" spans="1:27" ht="17.100000000000001" customHeight="1" x14ac:dyDescent="0.2">
      <c r="A70" s="5">
        <v>68</v>
      </c>
      <c r="B70" s="7" t="s">
        <v>381</v>
      </c>
      <c r="C70" s="10" t="s">
        <v>380</v>
      </c>
      <c r="D70" s="36" t="s">
        <v>67</v>
      </c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9">
        <v>0.54166666666666663</v>
      </c>
      <c r="V70" s="9"/>
      <c r="W70" s="9"/>
      <c r="X70" s="1">
        <v>2</v>
      </c>
      <c r="Y70" s="1">
        <v>8</v>
      </c>
      <c r="Z70" s="25" t="s">
        <v>1262</v>
      </c>
      <c r="AA70" s="11"/>
    </row>
    <row r="71" spans="1:27" ht="17.100000000000001" customHeight="1" x14ac:dyDescent="0.45">
      <c r="A71" s="5">
        <v>69</v>
      </c>
      <c r="B71" s="7" t="s">
        <v>383</v>
      </c>
      <c r="C71" s="2" t="s">
        <v>382</v>
      </c>
      <c r="D71" s="36" t="s">
        <v>67</v>
      </c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9"/>
      <c r="V71" s="9"/>
      <c r="W71" s="9"/>
      <c r="X71" s="5">
        <v>1</v>
      </c>
      <c r="Y71" s="1"/>
      <c r="Z71" s="25"/>
      <c r="AA71" s="12"/>
    </row>
    <row r="72" spans="1:27" ht="17.100000000000001" customHeight="1" x14ac:dyDescent="0.45">
      <c r="A72" s="5">
        <v>70</v>
      </c>
      <c r="B72" s="7" t="s">
        <v>384</v>
      </c>
      <c r="C72" s="2" t="s">
        <v>333</v>
      </c>
      <c r="D72" s="36" t="s">
        <v>67</v>
      </c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9">
        <v>0.33333333333333331</v>
      </c>
      <c r="V72" s="9"/>
      <c r="W72" s="9"/>
      <c r="X72" s="5">
        <v>1</v>
      </c>
      <c r="Y72" s="1">
        <v>1</v>
      </c>
      <c r="Z72" s="25">
        <v>41.3</v>
      </c>
      <c r="AA72" s="25"/>
    </row>
    <row r="73" spans="1:27" ht="34.15" customHeight="1" x14ac:dyDescent="0.45">
      <c r="A73" s="5">
        <v>71</v>
      </c>
      <c r="B73" s="7" t="s">
        <v>386</v>
      </c>
      <c r="C73" s="13" t="s">
        <v>385</v>
      </c>
      <c r="D73" s="36" t="s">
        <v>67</v>
      </c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9"/>
      <c r="V73" s="9"/>
      <c r="W73" s="9"/>
      <c r="X73" s="5">
        <v>3</v>
      </c>
      <c r="Y73" s="1">
        <v>5</v>
      </c>
      <c r="Z73" s="25"/>
      <c r="AA73" s="25"/>
    </row>
    <row r="74" spans="1:27" ht="20.25" customHeight="1" x14ac:dyDescent="0.45">
      <c r="A74" s="5">
        <v>72</v>
      </c>
      <c r="B74" s="7" t="s">
        <v>387</v>
      </c>
      <c r="C74" s="2" t="s">
        <v>3</v>
      </c>
      <c r="D74" s="5" t="s">
        <v>67</v>
      </c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9">
        <v>0.16666666666666666</v>
      </c>
      <c r="V74" s="9"/>
      <c r="W74" s="9"/>
      <c r="X74" s="5">
        <v>1</v>
      </c>
      <c r="Y74" s="1">
        <v>10</v>
      </c>
      <c r="Z74" s="25">
        <v>53</v>
      </c>
      <c r="AA74" s="12"/>
    </row>
    <row r="75" spans="1:27" ht="0.75" customHeight="1" x14ac:dyDescent="0.45">
      <c r="A75" s="5">
        <v>73</v>
      </c>
      <c r="B75" s="7" t="s">
        <v>388</v>
      </c>
      <c r="C75" s="13" t="s">
        <v>341</v>
      </c>
      <c r="D75" s="36" t="s">
        <v>67</v>
      </c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9">
        <v>0.29166666666666669</v>
      </c>
      <c r="V75" s="9"/>
      <c r="W75" s="9"/>
      <c r="X75" s="5">
        <v>1</v>
      </c>
      <c r="Y75" s="1"/>
      <c r="Z75" s="25">
        <v>21.7</v>
      </c>
      <c r="AA75" s="12"/>
    </row>
    <row r="76" spans="1:27" ht="17.100000000000001" customHeight="1" x14ac:dyDescent="0.45">
      <c r="A76" s="5">
        <v>74</v>
      </c>
      <c r="B76" s="7">
        <v>165403</v>
      </c>
      <c r="C76" s="13" t="s">
        <v>343</v>
      </c>
      <c r="D76" s="36" t="s">
        <v>67</v>
      </c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9">
        <v>0.25</v>
      </c>
      <c r="V76" s="9"/>
      <c r="W76" s="9"/>
      <c r="X76" s="5">
        <v>1</v>
      </c>
      <c r="Y76" s="1"/>
      <c r="Z76" s="25"/>
      <c r="AA76" s="12"/>
    </row>
    <row r="77" spans="1:27" ht="17.100000000000001" customHeight="1" x14ac:dyDescent="0.45">
      <c r="A77" s="5">
        <v>75</v>
      </c>
      <c r="B77" s="7">
        <v>165401</v>
      </c>
      <c r="C77" s="13" t="s">
        <v>344</v>
      </c>
      <c r="D77" s="36" t="s">
        <v>67</v>
      </c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9">
        <v>0.16666666666666666</v>
      </c>
      <c r="V77" s="9"/>
      <c r="W77" s="9"/>
      <c r="X77" s="5">
        <v>1</v>
      </c>
      <c r="Y77" s="1"/>
      <c r="Z77" s="25"/>
      <c r="AA77" s="12"/>
    </row>
    <row r="78" spans="1:27" ht="18" x14ac:dyDescent="0.45">
      <c r="A78" s="5">
        <v>76</v>
      </c>
      <c r="B78" s="7" t="s">
        <v>389</v>
      </c>
      <c r="C78" s="2" t="s">
        <v>345</v>
      </c>
      <c r="D78" s="36" t="s">
        <v>67</v>
      </c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9"/>
      <c r="V78" s="9"/>
      <c r="W78" s="9"/>
      <c r="X78" s="14"/>
      <c r="Y78" s="1"/>
      <c r="Z78" s="25"/>
      <c r="AA78" s="14"/>
    </row>
    <row r="79" spans="1:27" ht="17.100000000000001" customHeight="1" x14ac:dyDescent="0.2">
      <c r="A79" s="5">
        <v>77</v>
      </c>
      <c r="B79" s="7" t="s">
        <v>390</v>
      </c>
      <c r="C79" s="8" t="s">
        <v>347</v>
      </c>
      <c r="D79" s="36" t="s">
        <v>67</v>
      </c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9"/>
      <c r="V79" s="9"/>
      <c r="W79" s="9"/>
      <c r="X79" s="12">
        <v>1</v>
      </c>
      <c r="Y79" s="1"/>
      <c r="Z79" s="25"/>
      <c r="AA79" s="12"/>
    </row>
    <row r="80" spans="1:27" ht="17.100000000000001" customHeight="1" x14ac:dyDescent="0.2">
      <c r="A80" s="5">
        <v>78</v>
      </c>
      <c r="B80" s="7">
        <v>165413</v>
      </c>
      <c r="C80" s="8" t="s">
        <v>349</v>
      </c>
      <c r="D80" s="36" t="s">
        <v>67</v>
      </c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9"/>
      <c r="V80" s="9"/>
      <c r="W80" s="9"/>
      <c r="X80" s="12">
        <v>2</v>
      </c>
      <c r="Y80" s="1"/>
      <c r="Z80" s="25"/>
      <c r="AA80" s="12"/>
    </row>
    <row r="81" spans="1:27" ht="17.100000000000001" customHeight="1" x14ac:dyDescent="0.2">
      <c r="A81" s="5">
        <v>79</v>
      </c>
      <c r="B81" s="7">
        <v>164411</v>
      </c>
      <c r="C81" s="8" t="s">
        <v>350</v>
      </c>
      <c r="D81" s="36" t="s">
        <v>67</v>
      </c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9"/>
      <c r="V81" s="9"/>
      <c r="W81" s="9"/>
      <c r="X81" s="12">
        <v>2</v>
      </c>
      <c r="Y81" s="1"/>
      <c r="Z81" s="25"/>
      <c r="AA81" s="12"/>
    </row>
    <row r="82" spans="1:27" ht="18" x14ac:dyDescent="0.45">
      <c r="A82" s="5">
        <v>80</v>
      </c>
      <c r="B82" s="7" t="s">
        <v>391</v>
      </c>
      <c r="C82" s="2" t="s">
        <v>351</v>
      </c>
      <c r="D82" s="36" t="s">
        <v>67</v>
      </c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9"/>
      <c r="V82" s="9"/>
      <c r="W82" s="9"/>
      <c r="X82" s="14"/>
      <c r="Y82" s="1"/>
      <c r="Z82" s="25"/>
      <c r="AA82" s="14"/>
    </row>
    <row r="83" spans="1:27" ht="18" x14ac:dyDescent="0.45">
      <c r="A83" s="5">
        <v>81</v>
      </c>
      <c r="B83" s="7" t="s">
        <v>392</v>
      </c>
      <c r="C83" s="2" t="s">
        <v>353</v>
      </c>
      <c r="D83" s="36" t="s">
        <v>67</v>
      </c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9"/>
      <c r="V83" s="9"/>
      <c r="W83" s="9"/>
      <c r="X83" s="12"/>
      <c r="Y83" s="1"/>
      <c r="Z83" s="25"/>
      <c r="AA83" s="12"/>
    </row>
    <row r="84" spans="1:27" ht="17.100000000000001" customHeight="1" x14ac:dyDescent="0.45">
      <c r="A84" s="5">
        <v>82</v>
      </c>
      <c r="B84" s="7" t="s">
        <v>393</v>
      </c>
      <c r="C84" s="2" t="s">
        <v>357</v>
      </c>
      <c r="D84" s="36" t="s">
        <v>67</v>
      </c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9">
        <v>2.0833333333333332E-2</v>
      </c>
      <c r="V84" s="9"/>
      <c r="W84" s="9"/>
      <c r="X84" s="12">
        <v>1</v>
      </c>
      <c r="Y84" s="1">
        <v>1</v>
      </c>
      <c r="Z84" s="25"/>
      <c r="AA84" s="12"/>
    </row>
    <row r="85" spans="1:27" ht="17.100000000000001" customHeight="1" x14ac:dyDescent="0.45">
      <c r="A85" s="5">
        <v>83</v>
      </c>
      <c r="B85" s="7" t="s">
        <v>394</v>
      </c>
      <c r="C85" s="2" t="s">
        <v>361</v>
      </c>
      <c r="D85" s="36" t="s">
        <v>67</v>
      </c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9">
        <v>0.66666666666666663</v>
      </c>
      <c r="V85" s="9"/>
      <c r="W85" s="9"/>
      <c r="X85" s="12">
        <v>1</v>
      </c>
      <c r="Y85" s="1"/>
      <c r="Z85" s="25">
        <v>69.2</v>
      </c>
      <c r="AA85" s="12"/>
    </row>
    <row r="86" spans="1:27" ht="17.100000000000001" customHeight="1" x14ac:dyDescent="0.45">
      <c r="A86" s="5">
        <v>84</v>
      </c>
      <c r="B86" s="7" t="s">
        <v>395</v>
      </c>
      <c r="C86" s="13" t="s">
        <v>363</v>
      </c>
      <c r="D86" s="36" t="s">
        <v>67</v>
      </c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9">
        <v>1</v>
      </c>
      <c r="V86" s="9"/>
      <c r="W86" s="9"/>
      <c r="X86" s="12">
        <v>1</v>
      </c>
      <c r="Y86" s="1">
        <v>2</v>
      </c>
      <c r="Z86" s="25">
        <v>88.1</v>
      </c>
      <c r="AA86" s="12"/>
    </row>
    <row r="87" spans="1:27" ht="18" x14ac:dyDescent="0.45">
      <c r="A87" s="5">
        <v>85</v>
      </c>
      <c r="B87" s="7" t="s">
        <v>397</v>
      </c>
      <c r="C87" s="2" t="s">
        <v>396</v>
      </c>
      <c r="D87" s="36" t="s">
        <v>67</v>
      </c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9"/>
      <c r="V87" s="9"/>
      <c r="W87" s="9"/>
      <c r="X87" s="12"/>
      <c r="Y87" s="1"/>
      <c r="Z87" s="25"/>
      <c r="AA87" s="12"/>
    </row>
    <row r="88" spans="1:27" ht="18" x14ac:dyDescent="0.2">
      <c r="A88" s="5">
        <v>86</v>
      </c>
      <c r="B88" s="7">
        <v>165701</v>
      </c>
      <c r="C88" s="129" t="s">
        <v>373</v>
      </c>
      <c r="D88" s="36" t="s">
        <v>67</v>
      </c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9"/>
      <c r="V88" s="9"/>
      <c r="W88" s="9"/>
      <c r="X88" s="12"/>
      <c r="Y88" s="1"/>
      <c r="Z88" s="25"/>
      <c r="AA88" s="12"/>
    </row>
    <row r="89" spans="1:27" ht="18" x14ac:dyDescent="0.2">
      <c r="A89" s="5">
        <v>87</v>
      </c>
      <c r="B89" s="7">
        <v>165705</v>
      </c>
      <c r="C89" s="129"/>
      <c r="D89" s="36" t="s">
        <v>67</v>
      </c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9"/>
      <c r="V89" s="9"/>
      <c r="W89" s="9"/>
      <c r="X89" s="12"/>
      <c r="Y89" s="1"/>
      <c r="Z89" s="25"/>
      <c r="AA89" s="12"/>
    </row>
    <row r="90" spans="1:27" ht="18" x14ac:dyDescent="0.2">
      <c r="A90" s="5">
        <v>88</v>
      </c>
      <c r="B90" s="7">
        <v>165711</v>
      </c>
      <c r="C90" s="130" t="s">
        <v>376</v>
      </c>
      <c r="D90" s="36" t="s">
        <v>67</v>
      </c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9"/>
      <c r="V90" s="9"/>
      <c r="W90" s="9"/>
      <c r="X90" s="12"/>
      <c r="Y90" s="1"/>
      <c r="Z90" s="25"/>
      <c r="AA90" s="12"/>
    </row>
    <row r="91" spans="1:27" ht="18" x14ac:dyDescent="0.2">
      <c r="A91" s="5">
        <v>89</v>
      </c>
      <c r="B91" s="7">
        <v>165715</v>
      </c>
      <c r="C91" s="130"/>
      <c r="D91" s="36" t="s">
        <v>67</v>
      </c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9"/>
      <c r="V91" s="9"/>
      <c r="W91" s="9"/>
      <c r="X91" s="12"/>
      <c r="Y91" s="1"/>
      <c r="Z91" s="25"/>
      <c r="AA91" s="12"/>
    </row>
    <row r="92" spans="1:27" ht="17.100000000000001" customHeight="1" x14ac:dyDescent="0.45">
      <c r="A92" s="5">
        <v>90</v>
      </c>
      <c r="B92" s="7" t="s">
        <v>399</v>
      </c>
      <c r="C92" s="13" t="s">
        <v>398</v>
      </c>
      <c r="D92" s="36" t="s">
        <v>68</v>
      </c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9">
        <v>0.5</v>
      </c>
      <c r="V92" s="9"/>
      <c r="W92" s="9"/>
      <c r="X92" s="15">
        <v>2</v>
      </c>
      <c r="Y92" s="1">
        <v>6</v>
      </c>
      <c r="Z92" s="25">
        <v>42.3</v>
      </c>
      <c r="AA92" s="16"/>
    </row>
    <row r="93" spans="1:27" ht="17.100000000000001" customHeight="1" x14ac:dyDescent="0.45">
      <c r="A93" s="5">
        <v>91</v>
      </c>
      <c r="B93" s="7" t="s">
        <v>401</v>
      </c>
      <c r="C93" s="2" t="s">
        <v>400</v>
      </c>
      <c r="D93" s="36" t="s">
        <v>68</v>
      </c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9">
        <v>0.125</v>
      </c>
      <c r="V93" s="9"/>
      <c r="W93" s="9"/>
      <c r="X93" s="5">
        <v>1</v>
      </c>
      <c r="Y93" s="1">
        <v>1</v>
      </c>
      <c r="Z93" s="25"/>
      <c r="AA93" s="12"/>
    </row>
    <row r="94" spans="1:27" ht="17.100000000000001" customHeight="1" x14ac:dyDescent="0.45">
      <c r="A94" s="5">
        <v>92</v>
      </c>
      <c r="B94" s="7" t="s">
        <v>402</v>
      </c>
      <c r="C94" s="2" t="s">
        <v>19</v>
      </c>
      <c r="D94" s="36" t="s">
        <v>68</v>
      </c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9"/>
      <c r="V94" s="9"/>
      <c r="W94" s="9"/>
      <c r="X94" s="5">
        <v>1</v>
      </c>
      <c r="Y94" s="1">
        <v>1</v>
      </c>
      <c r="Z94" s="25"/>
      <c r="AA94" s="17"/>
    </row>
    <row r="95" spans="1:27" ht="17.100000000000001" customHeight="1" x14ac:dyDescent="0.45">
      <c r="A95" s="5">
        <v>93</v>
      </c>
      <c r="B95" s="7" t="s">
        <v>403</v>
      </c>
      <c r="C95" s="2" t="s">
        <v>3</v>
      </c>
      <c r="D95" s="36" t="s">
        <v>68</v>
      </c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9">
        <v>0.16666666666666666</v>
      </c>
      <c r="V95" s="9"/>
      <c r="W95" s="9"/>
      <c r="X95" s="5">
        <v>1</v>
      </c>
      <c r="Y95" s="1">
        <v>2</v>
      </c>
      <c r="Z95" s="25">
        <v>32.6</v>
      </c>
      <c r="AA95" s="12"/>
    </row>
    <row r="96" spans="1:27" ht="17.100000000000001" customHeight="1" x14ac:dyDescent="0.45">
      <c r="A96" s="5">
        <v>94</v>
      </c>
      <c r="B96" s="7" t="s">
        <v>405</v>
      </c>
      <c r="C96" s="2" t="s">
        <v>404</v>
      </c>
      <c r="D96" s="36" t="s">
        <v>68</v>
      </c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9">
        <v>0.33333333333333331</v>
      </c>
      <c r="V96" s="9"/>
      <c r="W96" s="9"/>
      <c r="X96" s="5">
        <v>1</v>
      </c>
      <c r="Y96" s="1">
        <v>7</v>
      </c>
      <c r="Z96" s="25">
        <v>34.799999999999997</v>
      </c>
      <c r="AA96" s="12"/>
    </row>
    <row r="97" spans="1:27" ht="17.100000000000001" customHeight="1" x14ac:dyDescent="0.45">
      <c r="A97" s="5">
        <v>95</v>
      </c>
      <c r="B97" s="7" t="s">
        <v>845</v>
      </c>
      <c r="C97" s="2" t="s">
        <v>406</v>
      </c>
      <c r="D97" s="36" t="s">
        <v>68</v>
      </c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9">
        <v>0.33333333333333331</v>
      </c>
      <c r="V97" s="9"/>
      <c r="W97" s="9"/>
      <c r="X97" s="5">
        <v>1</v>
      </c>
      <c r="Y97" s="1">
        <v>7</v>
      </c>
      <c r="Z97" s="25">
        <v>31.8</v>
      </c>
      <c r="AA97" s="12"/>
    </row>
    <row r="98" spans="1:27" ht="17.100000000000001" customHeight="1" x14ac:dyDescent="0.45">
      <c r="A98" s="5">
        <v>96</v>
      </c>
      <c r="B98" s="7">
        <v>100406</v>
      </c>
      <c r="C98" s="2" t="s">
        <v>407</v>
      </c>
      <c r="D98" s="36" t="s">
        <v>68</v>
      </c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9">
        <v>0.33333333333333331</v>
      </c>
      <c r="V98" s="9"/>
      <c r="W98" s="9"/>
      <c r="X98" s="12">
        <v>1</v>
      </c>
      <c r="Y98" s="1"/>
      <c r="Z98" s="25"/>
      <c r="AA98" s="12"/>
    </row>
    <row r="99" spans="1:27" ht="17.100000000000001" customHeight="1" x14ac:dyDescent="0.45">
      <c r="A99" s="5">
        <v>97</v>
      </c>
      <c r="B99" s="7">
        <v>100404</v>
      </c>
      <c r="C99" s="2" t="s">
        <v>408</v>
      </c>
      <c r="D99" s="36" t="s">
        <v>68</v>
      </c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9">
        <v>0.33333333333333331</v>
      </c>
      <c r="V99" s="9"/>
      <c r="W99" s="9"/>
      <c r="X99" s="12">
        <v>1</v>
      </c>
      <c r="Y99" s="1"/>
      <c r="Z99" s="25"/>
      <c r="AA99" s="12"/>
    </row>
    <row r="100" spans="1:27" ht="17.100000000000001" customHeight="1" x14ac:dyDescent="0.45">
      <c r="A100" s="5">
        <v>98</v>
      </c>
      <c r="B100" s="7" t="s">
        <v>410</v>
      </c>
      <c r="C100" s="2" t="s">
        <v>409</v>
      </c>
      <c r="D100" s="36" t="s">
        <v>68</v>
      </c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9">
        <v>0.16666666666666666</v>
      </c>
      <c r="V100" s="9"/>
      <c r="W100" s="9"/>
      <c r="X100" s="5">
        <v>1</v>
      </c>
      <c r="Y100" s="1"/>
      <c r="Z100" s="25"/>
      <c r="AA100" s="12"/>
    </row>
    <row r="101" spans="1:27" ht="17.100000000000001" customHeight="1" x14ac:dyDescent="0.45">
      <c r="A101" s="5">
        <v>99</v>
      </c>
      <c r="B101" s="7">
        <v>100402</v>
      </c>
      <c r="C101" s="2" t="s">
        <v>411</v>
      </c>
      <c r="D101" s="36" t="s">
        <v>68</v>
      </c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9">
        <v>0.33333333333333331</v>
      </c>
      <c r="V101" s="9"/>
      <c r="W101" s="9"/>
      <c r="X101" s="12">
        <v>1</v>
      </c>
      <c r="Y101" s="1"/>
      <c r="Z101" s="25"/>
      <c r="AA101" s="12"/>
    </row>
    <row r="102" spans="1:27" ht="17.100000000000001" customHeight="1" x14ac:dyDescent="0.45">
      <c r="A102" s="5">
        <v>100</v>
      </c>
      <c r="B102" s="7" t="s">
        <v>413</v>
      </c>
      <c r="C102" s="2" t="s">
        <v>412</v>
      </c>
      <c r="D102" s="36" t="s">
        <v>68</v>
      </c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9"/>
      <c r="V102" s="9"/>
      <c r="W102" s="9"/>
      <c r="X102" s="12">
        <v>1</v>
      </c>
      <c r="Y102" s="1"/>
      <c r="Z102" s="25"/>
      <c r="AA102" s="12"/>
    </row>
    <row r="103" spans="1:27" ht="18" x14ac:dyDescent="0.45">
      <c r="A103" s="5">
        <v>101</v>
      </c>
      <c r="B103" s="7" t="s">
        <v>415</v>
      </c>
      <c r="C103" s="2" t="s">
        <v>414</v>
      </c>
      <c r="D103" s="36" t="s">
        <v>68</v>
      </c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9"/>
      <c r="V103" s="9"/>
      <c r="W103" s="9"/>
      <c r="X103" s="17"/>
      <c r="Y103" s="1"/>
      <c r="Z103" s="25"/>
      <c r="AA103" s="17"/>
    </row>
    <row r="104" spans="1:27" ht="18" x14ac:dyDescent="0.45">
      <c r="A104" s="5">
        <v>102</v>
      </c>
      <c r="B104" s="7" t="s">
        <v>416</v>
      </c>
      <c r="C104" s="2" t="s">
        <v>84</v>
      </c>
      <c r="D104" s="36" t="s">
        <v>68</v>
      </c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9"/>
      <c r="V104" s="9"/>
      <c r="W104" s="9"/>
      <c r="X104" s="12"/>
      <c r="Y104" s="1"/>
      <c r="Z104" s="25"/>
      <c r="AA104" s="12"/>
    </row>
    <row r="105" spans="1:27" ht="18" x14ac:dyDescent="0.45">
      <c r="A105" s="5">
        <v>103</v>
      </c>
      <c r="B105" s="7" t="s">
        <v>417</v>
      </c>
      <c r="C105" s="2" t="s">
        <v>278</v>
      </c>
      <c r="D105" s="36" t="s">
        <v>68</v>
      </c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9"/>
      <c r="V105" s="9"/>
      <c r="W105" s="9"/>
      <c r="X105" s="12"/>
      <c r="Y105" s="1"/>
      <c r="Z105" s="25"/>
      <c r="AA105" s="12"/>
    </row>
    <row r="106" spans="1:27" ht="18" x14ac:dyDescent="0.45">
      <c r="A106" s="5">
        <v>104</v>
      </c>
      <c r="B106" s="7">
        <v>100701</v>
      </c>
      <c r="C106" s="2" t="s">
        <v>418</v>
      </c>
      <c r="D106" s="36" t="s">
        <v>68</v>
      </c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9"/>
      <c r="V106" s="9"/>
      <c r="W106" s="9"/>
      <c r="X106" s="12"/>
      <c r="Y106" s="1"/>
      <c r="Z106" s="25"/>
      <c r="AA106" s="12"/>
    </row>
    <row r="107" spans="1:27" ht="18" x14ac:dyDescent="0.45">
      <c r="A107" s="5">
        <v>105</v>
      </c>
      <c r="B107" s="7">
        <v>100705</v>
      </c>
      <c r="C107" s="2" t="s">
        <v>419</v>
      </c>
      <c r="D107" s="36" t="s">
        <v>68</v>
      </c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9"/>
      <c r="V107" s="9"/>
      <c r="W107" s="9"/>
      <c r="X107" s="12"/>
      <c r="Y107" s="1"/>
      <c r="Z107" s="25"/>
      <c r="AA107" s="12"/>
    </row>
    <row r="108" spans="1:27" ht="18" x14ac:dyDescent="0.45">
      <c r="A108" s="5">
        <v>106</v>
      </c>
      <c r="B108" s="7">
        <v>100711</v>
      </c>
      <c r="C108" s="2" t="s">
        <v>420</v>
      </c>
      <c r="D108" s="36" t="s">
        <v>68</v>
      </c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9"/>
      <c r="V108" s="9"/>
      <c r="W108" s="9"/>
      <c r="X108" s="12"/>
      <c r="Y108" s="1"/>
      <c r="Z108" s="25"/>
      <c r="AA108" s="12"/>
    </row>
    <row r="109" spans="1:27" ht="18" x14ac:dyDescent="0.45">
      <c r="A109" s="5">
        <v>107</v>
      </c>
      <c r="B109" s="7">
        <v>100715</v>
      </c>
      <c r="C109" s="2" t="s">
        <v>421</v>
      </c>
      <c r="D109" s="36" t="s">
        <v>68</v>
      </c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9"/>
      <c r="V109" s="9"/>
      <c r="W109" s="9"/>
      <c r="X109" s="12"/>
      <c r="Y109" s="1"/>
      <c r="Z109" s="25"/>
      <c r="AA109" s="12"/>
    </row>
    <row r="110" spans="1:27" ht="17.100000000000001" customHeight="1" x14ac:dyDescent="0.45">
      <c r="A110" s="5">
        <v>108</v>
      </c>
      <c r="B110" s="7" t="s">
        <v>422</v>
      </c>
      <c r="C110" s="2" t="s">
        <v>81</v>
      </c>
      <c r="D110" s="36" t="s">
        <v>68</v>
      </c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9"/>
      <c r="V110" s="9"/>
      <c r="W110" s="9"/>
      <c r="X110" s="12">
        <v>1</v>
      </c>
      <c r="Y110" s="1">
        <v>3</v>
      </c>
      <c r="Z110" s="25">
        <v>24.4</v>
      </c>
      <c r="AA110" s="12"/>
    </row>
    <row r="111" spans="1:27" ht="18" x14ac:dyDescent="0.45">
      <c r="A111" s="5">
        <v>109</v>
      </c>
      <c r="B111" s="7" t="s">
        <v>424</v>
      </c>
      <c r="C111" s="2" t="s">
        <v>423</v>
      </c>
      <c r="D111" s="36" t="s">
        <v>68</v>
      </c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9"/>
      <c r="V111" s="9"/>
      <c r="W111" s="9"/>
      <c r="X111" s="12">
        <v>1</v>
      </c>
      <c r="Y111" s="1"/>
      <c r="Z111" s="25"/>
      <c r="AA111" s="12"/>
    </row>
    <row r="112" spans="1:27" ht="18" x14ac:dyDescent="0.45">
      <c r="A112" s="5">
        <v>110</v>
      </c>
      <c r="B112" s="7" t="s">
        <v>426</v>
      </c>
      <c r="C112" s="2" t="s">
        <v>425</v>
      </c>
      <c r="D112" s="36" t="s">
        <v>68</v>
      </c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9"/>
      <c r="V112" s="9"/>
      <c r="W112" s="9"/>
      <c r="X112" s="12">
        <v>1</v>
      </c>
      <c r="Y112" s="1">
        <v>1</v>
      </c>
      <c r="Z112" s="25"/>
      <c r="AA112" s="12"/>
    </row>
    <row r="113" spans="1:27" ht="18" x14ac:dyDescent="0.45">
      <c r="A113" s="5">
        <v>111</v>
      </c>
      <c r="B113" s="7" t="s">
        <v>428</v>
      </c>
      <c r="C113" s="2" t="s">
        <v>427</v>
      </c>
      <c r="D113" s="36" t="s">
        <v>68</v>
      </c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9"/>
      <c r="V113" s="9"/>
      <c r="W113" s="9"/>
      <c r="X113" s="12"/>
      <c r="Y113" s="1"/>
      <c r="Z113" s="25"/>
      <c r="AA113" s="12"/>
    </row>
    <row r="114" spans="1:27" ht="18" x14ac:dyDescent="0.45">
      <c r="A114" s="5">
        <v>112</v>
      </c>
      <c r="B114" s="7">
        <v>100791</v>
      </c>
      <c r="C114" s="2" t="s">
        <v>372</v>
      </c>
      <c r="D114" s="36" t="s">
        <v>68</v>
      </c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9"/>
      <c r="V114" s="9"/>
      <c r="W114" s="9"/>
      <c r="X114" s="12"/>
      <c r="Y114" s="1"/>
      <c r="Z114" s="25"/>
      <c r="AA114" s="12"/>
    </row>
    <row r="115" spans="1:27" ht="18" x14ac:dyDescent="0.45">
      <c r="A115" s="5">
        <v>113</v>
      </c>
      <c r="B115" s="7" t="s">
        <v>429</v>
      </c>
      <c r="C115" s="2" t="s">
        <v>248</v>
      </c>
      <c r="D115" s="36" t="s">
        <v>68</v>
      </c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9">
        <v>4.1666666666666664E-2</v>
      </c>
      <c r="V115" s="9"/>
      <c r="W115" s="9"/>
      <c r="X115" s="12">
        <v>1</v>
      </c>
      <c r="Y115" s="1">
        <v>1</v>
      </c>
      <c r="Z115" s="25">
        <v>3.2</v>
      </c>
      <c r="AA115" s="12"/>
    </row>
    <row r="116" spans="1:27" ht="17.25" customHeight="1" x14ac:dyDescent="0.45">
      <c r="A116" s="5">
        <v>114</v>
      </c>
      <c r="B116" s="7" t="s">
        <v>431</v>
      </c>
      <c r="C116" s="13" t="s">
        <v>430</v>
      </c>
      <c r="D116" s="36" t="s">
        <v>68</v>
      </c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9"/>
      <c r="V116" s="9"/>
      <c r="W116" s="9"/>
      <c r="X116" s="17"/>
      <c r="Y116" s="1"/>
      <c r="Z116" s="25"/>
      <c r="AA116" s="17"/>
    </row>
    <row r="117" spans="1:27" ht="17.100000000000001" customHeight="1" x14ac:dyDescent="0.45">
      <c r="A117" s="5">
        <v>115</v>
      </c>
      <c r="B117" s="7" t="s">
        <v>432</v>
      </c>
      <c r="C117" s="2" t="s">
        <v>341</v>
      </c>
      <c r="D117" s="36" t="s">
        <v>74</v>
      </c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9">
        <v>0.33333333333333331</v>
      </c>
      <c r="V117" s="9"/>
      <c r="W117" s="9"/>
      <c r="X117" s="5">
        <v>1</v>
      </c>
      <c r="Y117" s="1">
        <v>1</v>
      </c>
      <c r="Z117" s="25">
        <v>28.9</v>
      </c>
      <c r="AA117" s="12"/>
    </row>
    <row r="118" spans="1:27" ht="17.100000000000001" customHeight="1" x14ac:dyDescent="0.45">
      <c r="A118" s="5">
        <v>116</v>
      </c>
      <c r="B118" s="7">
        <v>120403</v>
      </c>
      <c r="C118" s="2" t="s">
        <v>343</v>
      </c>
      <c r="D118" s="36" t="s">
        <v>74</v>
      </c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9">
        <v>0.33333333333333331</v>
      </c>
      <c r="V118" s="9"/>
      <c r="W118" s="9"/>
      <c r="X118" s="5">
        <v>1</v>
      </c>
      <c r="Y118" s="1"/>
      <c r="Z118" s="25"/>
      <c r="AA118" s="12"/>
    </row>
    <row r="119" spans="1:27" ht="17.100000000000001" customHeight="1" x14ac:dyDescent="0.45">
      <c r="A119" s="5">
        <v>117</v>
      </c>
      <c r="B119" s="7">
        <v>120401</v>
      </c>
      <c r="C119" s="2" t="s">
        <v>344</v>
      </c>
      <c r="D119" s="36" t="s">
        <v>74</v>
      </c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9">
        <v>0.33333333333333331</v>
      </c>
      <c r="V119" s="9"/>
      <c r="W119" s="9"/>
      <c r="X119" s="5">
        <v>1</v>
      </c>
      <c r="Y119" s="1"/>
      <c r="Z119" s="25"/>
      <c r="AA119" s="12"/>
    </row>
    <row r="120" spans="1:27" ht="17.100000000000001" customHeight="1" x14ac:dyDescent="0.45">
      <c r="A120" s="5">
        <v>118</v>
      </c>
      <c r="B120" s="7">
        <v>120406</v>
      </c>
      <c r="C120" s="2" t="s">
        <v>407</v>
      </c>
      <c r="D120" s="36" t="s">
        <v>74</v>
      </c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9">
        <v>0.33333333333333331</v>
      </c>
      <c r="V120" s="9"/>
      <c r="W120" s="9"/>
      <c r="X120" s="12">
        <v>1</v>
      </c>
      <c r="Y120" s="1"/>
      <c r="Z120" s="25"/>
      <c r="AA120" s="12"/>
    </row>
    <row r="121" spans="1:27" ht="17.100000000000001" customHeight="1" x14ac:dyDescent="0.45">
      <c r="A121" s="5">
        <v>119</v>
      </c>
      <c r="B121" s="7">
        <v>120404</v>
      </c>
      <c r="C121" s="2" t="s">
        <v>408</v>
      </c>
      <c r="D121" s="36" t="s">
        <v>74</v>
      </c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9">
        <v>0.33333333333333331</v>
      </c>
      <c r="V121" s="9"/>
      <c r="W121" s="9"/>
      <c r="X121" s="12">
        <v>1</v>
      </c>
      <c r="Y121" s="1"/>
      <c r="Z121" s="25"/>
      <c r="AA121" s="12"/>
    </row>
    <row r="122" spans="1:27" ht="17.100000000000001" customHeight="1" x14ac:dyDescent="0.45">
      <c r="A122" s="5">
        <v>120</v>
      </c>
      <c r="B122" s="7">
        <v>120402</v>
      </c>
      <c r="C122" s="2" t="s">
        <v>433</v>
      </c>
      <c r="D122" s="36" t="s">
        <v>74</v>
      </c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9">
        <v>0.33333333333333331</v>
      </c>
      <c r="V122" s="9"/>
      <c r="W122" s="9"/>
      <c r="X122" s="12">
        <v>1</v>
      </c>
      <c r="Y122" s="1"/>
      <c r="Z122" s="25"/>
      <c r="AA122" s="12"/>
    </row>
    <row r="123" spans="1:27" ht="17.100000000000001" customHeight="1" x14ac:dyDescent="0.45">
      <c r="A123" s="5">
        <v>121</v>
      </c>
      <c r="B123" s="7" t="s">
        <v>434</v>
      </c>
      <c r="C123" s="2" t="s">
        <v>3</v>
      </c>
      <c r="D123" s="36" t="s">
        <v>74</v>
      </c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9">
        <v>0.25</v>
      </c>
      <c r="V123" s="9"/>
      <c r="W123" s="9"/>
      <c r="X123" s="5">
        <v>1</v>
      </c>
      <c r="Y123" s="1">
        <v>2</v>
      </c>
      <c r="Z123" s="25">
        <v>46.2</v>
      </c>
      <c r="AA123" s="12"/>
    </row>
    <row r="124" spans="1:27" ht="17.100000000000001" customHeight="1" x14ac:dyDescent="0.45">
      <c r="A124" s="5">
        <v>122</v>
      </c>
      <c r="B124" s="7" t="s">
        <v>436</v>
      </c>
      <c r="C124" s="2" t="s">
        <v>435</v>
      </c>
      <c r="D124" s="36" t="s">
        <v>74</v>
      </c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9"/>
      <c r="V124" s="9"/>
      <c r="W124" s="9"/>
      <c r="X124" s="12">
        <v>1</v>
      </c>
      <c r="Y124" s="1"/>
      <c r="Z124" s="25"/>
      <c r="AA124" s="12"/>
    </row>
    <row r="125" spans="1:27" ht="19.5" customHeight="1" x14ac:dyDescent="0.45">
      <c r="A125" s="5">
        <v>123</v>
      </c>
      <c r="B125" s="7" t="s">
        <v>437</v>
      </c>
      <c r="C125" s="2" t="s">
        <v>849</v>
      </c>
      <c r="D125" s="36" t="s">
        <v>128</v>
      </c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9">
        <v>6.9444444444444441E-3</v>
      </c>
      <c r="V125" s="9"/>
      <c r="W125" s="9"/>
      <c r="X125" s="12">
        <v>1</v>
      </c>
      <c r="Y125" s="1">
        <v>1</v>
      </c>
      <c r="Z125" s="25">
        <v>10.5</v>
      </c>
      <c r="AA125" s="12"/>
    </row>
    <row r="126" spans="1:27" ht="19.5" customHeight="1" x14ac:dyDescent="0.45">
      <c r="A126" s="5">
        <v>124</v>
      </c>
      <c r="B126" s="7" t="s">
        <v>438</v>
      </c>
      <c r="C126" s="2" t="s">
        <v>848</v>
      </c>
      <c r="D126" s="36" t="s">
        <v>128</v>
      </c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9"/>
      <c r="V126" s="9"/>
      <c r="W126" s="9"/>
      <c r="X126" s="17">
        <v>1</v>
      </c>
      <c r="Y126" s="1"/>
      <c r="Z126" s="25"/>
      <c r="AA126" s="17"/>
    </row>
    <row r="127" spans="1:27" ht="19.5" customHeight="1" x14ac:dyDescent="0.45">
      <c r="A127" s="5">
        <v>125</v>
      </c>
      <c r="B127" s="7">
        <v>150171</v>
      </c>
      <c r="C127" s="2" t="s">
        <v>851</v>
      </c>
      <c r="D127" s="36" t="s">
        <v>126</v>
      </c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9">
        <v>6.9444444444444441E-3</v>
      </c>
      <c r="V127" s="9"/>
      <c r="W127" s="9"/>
      <c r="X127" s="12">
        <v>1</v>
      </c>
      <c r="Y127" s="1">
        <v>1</v>
      </c>
      <c r="Z127" s="25">
        <v>10.5</v>
      </c>
      <c r="AA127" s="12"/>
    </row>
    <row r="128" spans="1:27" ht="19.5" customHeight="1" x14ac:dyDescent="0.45">
      <c r="A128" s="5">
        <v>126</v>
      </c>
      <c r="B128" s="7">
        <v>150176</v>
      </c>
      <c r="C128" s="2" t="s">
        <v>850</v>
      </c>
      <c r="D128" s="36" t="s">
        <v>126</v>
      </c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9"/>
      <c r="V128" s="9"/>
      <c r="W128" s="9"/>
      <c r="X128" s="17">
        <v>1</v>
      </c>
      <c r="Y128" s="1"/>
      <c r="Z128" s="25"/>
      <c r="AA128" s="17"/>
    </row>
    <row r="129" spans="1:27" ht="19.5" customHeight="1" x14ac:dyDescent="0.45">
      <c r="A129" s="5">
        <v>127</v>
      </c>
      <c r="B129" s="7">
        <v>153171</v>
      </c>
      <c r="C129" s="2" t="s">
        <v>852</v>
      </c>
      <c r="D129" s="36" t="s">
        <v>130</v>
      </c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9"/>
      <c r="V129" s="9"/>
      <c r="W129" s="9"/>
      <c r="X129" s="12">
        <v>1</v>
      </c>
      <c r="Y129" s="1">
        <v>1</v>
      </c>
      <c r="Z129" s="25">
        <v>11.8</v>
      </c>
      <c r="AA129" s="12"/>
    </row>
    <row r="130" spans="1:27" ht="19.5" customHeight="1" x14ac:dyDescent="0.45">
      <c r="A130" s="5">
        <v>128</v>
      </c>
      <c r="B130" s="7">
        <v>153176</v>
      </c>
      <c r="C130" s="2" t="s">
        <v>853</v>
      </c>
      <c r="D130" s="36" t="s">
        <v>130</v>
      </c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9"/>
      <c r="V130" s="9"/>
      <c r="W130" s="9"/>
      <c r="X130" s="17">
        <v>1</v>
      </c>
      <c r="Y130" s="1"/>
      <c r="Z130" s="25"/>
      <c r="AA130" s="17"/>
    </row>
    <row r="131" spans="1:27" ht="19.5" customHeight="1" x14ac:dyDescent="0.45">
      <c r="A131" s="5">
        <v>129</v>
      </c>
      <c r="B131" s="7">
        <v>152171</v>
      </c>
      <c r="C131" s="2" t="s">
        <v>854</v>
      </c>
      <c r="D131" s="36" t="s">
        <v>856</v>
      </c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9"/>
      <c r="V131" s="9"/>
      <c r="W131" s="9"/>
      <c r="X131" s="12">
        <v>1</v>
      </c>
      <c r="Y131" s="1"/>
      <c r="Z131" s="25"/>
      <c r="AA131" s="12"/>
    </row>
    <row r="132" spans="1:27" ht="19.5" customHeight="1" x14ac:dyDescent="0.45">
      <c r="A132" s="5">
        <v>130</v>
      </c>
      <c r="B132" s="7">
        <v>152176</v>
      </c>
      <c r="C132" s="2" t="s">
        <v>855</v>
      </c>
      <c r="D132" s="36" t="s">
        <v>856</v>
      </c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9"/>
      <c r="V132" s="9"/>
      <c r="W132" s="9"/>
      <c r="X132" s="17">
        <v>1</v>
      </c>
      <c r="Y132" s="1"/>
      <c r="Z132" s="25"/>
      <c r="AA132" s="17"/>
    </row>
    <row r="133" spans="1:27" ht="19.5" customHeight="1" x14ac:dyDescent="0.45">
      <c r="A133" s="5">
        <v>131</v>
      </c>
      <c r="B133" s="7" t="s">
        <v>440</v>
      </c>
      <c r="C133" s="2" t="s">
        <v>439</v>
      </c>
      <c r="D133" s="36" t="s">
        <v>126</v>
      </c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9"/>
      <c r="V133" s="9"/>
      <c r="W133" s="9"/>
      <c r="X133" s="12">
        <v>5</v>
      </c>
      <c r="Y133" s="1">
        <v>25</v>
      </c>
      <c r="Z133" s="25">
        <v>15.8</v>
      </c>
      <c r="AA133" s="12"/>
    </row>
    <row r="134" spans="1:27" ht="19.5" customHeight="1" x14ac:dyDescent="0.45">
      <c r="A134" s="5">
        <v>132</v>
      </c>
      <c r="B134" s="7" t="s">
        <v>442</v>
      </c>
      <c r="C134" s="2" t="s">
        <v>441</v>
      </c>
      <c r="D134" s="36" t="s">
        <v>126</v>
      </c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9"/>
      <c r="V134" s="9"/>
      <c r="W134" s="9"/>
      <c r="X134" s="12">
        <v>1</v>
      </c>
      <c r="Y134" s="1"/>
      <c r="Z134" s="25"/>
      <c r="AA134" s="12"/>
    </row>
    <row r="135" spans="1:27" ht="17.100000000000001" customHeight="1" x14ac:dyDescent="0.45">
      <c r="A135" s="5">
        <v>133</v>
      </c>
      <c r="B135" s="7">
        <v>151442</v>
      </c>
      <c r="C135" s="2" t="s">
        <v>991</v>
      </c>
      <c r="D135" s="36" t="s">
        <v>128</v>
      </c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47"/>
      <c r="V135" s="47"/>
      <c r="W135" s="47"/>
      <c r="X135" s="12">
        <v>5</v>
      </c>
      <c r="Y135" s="1">
        <v>25</v>
      </c>
      <c r="Z135" s="25">
        <v>15.8</v>
      </c>
      <c r="AA135" s="12"/>
    </row>
    <row r="136" spans="1:27" ht="17.100000000000001" customHeight="1" x14ac:dyDescent="0.45">
      <c r="A136" s="5">
        <v>134</v>
      </c>
      <c r="B136" s="7" t="s">
        <v>445</v>
      </c>
      <c r="C136" s="2" t="s">
        <v>444</v>
      </c>
      <c r="D136" s="36" t="s">
        <v>130</v>
      </c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9">
        <v>6.25E-2</v>
      </c>
      <c r="V136" s="9"/>
      <c r="W136" s="9"/>
      <c r="X136" s="12">
        <v>1</v>
      </c>
      <c r="Y136" s="1">
        <v>25</v>
      </c>
      <c r="Z136" s="25">
        <v>18</v>
      </c>
      <c r="AA136" s="12"/>
    </row>
    <row r="137" spans="1:27" ht="17.100000000000001" customHeight="1" x14ac:dyDescent="0.45">
      <c r="A137" s="5">
        <v>135</v>
      </c>
      <c r="B137" s="7" t="s">
        <v>447</v>
      </c>
      <c r="C137" s="2" t="s">
        <v>446</v>
      </c>
      <c r="D137" s="36" t="s">
        <v>126</v>
      </c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9">
        <v>0.25</v>
      </c>
      <c r="V137" s="9"/>
      <c r="W137" s="9"/>
      <c r="X137" s="5">
        <v>1</v>
      </c>
      <c r="Y137" s="1"/>
      <c r="Z137" s="25"/>
      <c r="AA137" s="12"/>
    </row>
    <row r="138" spans="1:27" ht="17.100000000000001" customHeight="1" x14ac:dyDescent="0.45">
      <c r="A138" s="5">
        <v>136</v>
      </c>
      <c r="B138" s="7">
        <v>150403</v>
      </c>
      <c r="C138" s="2" t="s">
        <v>448</v>
      </c>
      <c r="D138" s="36" t="s">
        <v>126</v>
      </c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9">
        <v>0.25</v>
      </c>
      <c r="V138" s="9"/>
      <c r="W138" s="9"/>
      <c r="X138" s="5">
        <v>1</v>
      </c>
      <c r="Y138" s="1"/>
      <c r="Z138" s="25">
        <v>24.1</v>
      </c>
      <c r="AA138" s="12"/>
    </row>
    <row r="139" spans="1:27" ht="17.100000000000001" customHeight="1" x14ac:dyDescent="0.45">
      <c r="A139" s="5">
        <v>137</v>
      </c>
      <c r="B139" s="7">
        <v>150401</v>
      </c>
      <c r="C139" s="2" t="s">
        <v>449</v>
      </c>
      <c r="D139" s="36" t="s">
        <v>126</v>
      </c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9">
        <v>0.20833333333333334</v>
      </c>
      <c r="V139" s="9"/>
      <c r="W139" s="9"/>
      <c r="X139" s="5">
        <v>1</v>
      </c>
      <c r="Y139" s="1"/>
      <c r="Z139" s="25">
        <v>20.399999999999999</v>
      </c>
      <c r="AA139" s="12"/>
    </row>
    <row r="140" spans="1:27" ht="17.100000000000001" customHeight="1" x14ac:dyDescent="0.45">
      <c r="A140" s="5">
        <v>138</v>
      </c>
      <c r="B140" s="7">
        <v>150406</v>
      </c>
      <c r="C140" s="2" t="s">
        <v>450</v>
      </c>
      <c r="D140" s="36" t="s">
        <v>126</v>
      </c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9">
        <v>0.20833333333333334</v>
      </c>
      <c r="V140" s="9"/>
      <c r="W140" s="9"/>
      <c r="X140" s="12">
        <v>1</v>
      </c>
      <c r="Y140" s="1"/>
      <c r="Z140" s="25"/>
      <c r="AA140" s="12"/>
    </row>
    <row r="141" spans="1:27" ht="17.100000000000001" customHeight="1" x14ac:dyDescent="0.45">
      <c r="A141" s="5">
        <v>139</v>
      </c>
      <c r="B141" s="7">
        <v>150404</v>
      </c>
      <c r="C141" s="2" t="s">
        <v>451</v>
      </c>
      <c r="D141" s="36" t="s">
        <v>126</v>
      </c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9">
        <v>0.20833333333333334</v>
      </c>
      <c r="V141" s="9"/>
      <c r="W141" s="9"/>
      <c r="X141" s="12">
        <v>1</v>
      </c>
      <c r="Y141" s="1"/>
      <c r="Z141" s="25"/>
      <c r="AA141" s="12"/>
    </row>
    <row r="142" spans="1:27" ht="17.100000000000001" customHeight="1" x14ac:dyDescent="0.45">
      <c r="A142" s="5">
        <v>140</v>
      </c>
      <c r="B142" s="7">
        <v>150402</v>
      </c>
      <c r="C142" s="2" t="s">
        <v>452</v>
      </c>
      <c r="D142" s="36" t="s">
        <v>126</v>
      </c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9">
        <v>0.20833333333333334</v>
      </c>
      <c r="V142" s="9"/>
      <c r="W142" s="9"/>
      <c r="X142" s="5">
        <v>1</v>
      </c>
      <c r="Y142" s="1"/>
      <c r="Z142" s="25"/>
      <c r="AA142" s="12"/>
    </row>
    <row r="143" spans="1:27" ht="17.100000000000001" customHeight="1" x14ac:dyDescent="0.45">
      <c r="A143" s="5">
        <v>141</v>
      </c>
      <c r="B143" s="7" t="s">
        <v>454</v>
      </c>
      <c r="C143" s="2" t="s">
        <v>453</v>
      </c>
      <c r="D143" s="36" t="s">
        <v>128</v>
      </c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9">
        <v>0.33333333333333331</v>
      </c>
      <c r="V143" s="9"/>
      <c r="W143" s="9"/>
      <c r="X143" s="5">
        <v>1</v>
      </c>
      <c r="Y143" s="1">
        <v>7</v>
      </c>
      <c r="Z143" s="25">
        <v>27.5</v>
      </c>
      <c r="AA143" s="12"/>
    </row>
    <row r="144" spans="1:27" ht="17.100000000000001" customHeight="1" x14ac:dyDescent="0.45">
      <c r="A144" s="5">
        <v>142</v>
      </c>
      <c r="B144" s="7">
        <v>151403</v>
      </c>
      <c r="C144" s="2" t="s">
        <v>455</v>
      </c>
      <c r="D144" s="36" t="s">
        <v>128</v>
      </c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9">
        <v>0.29166666666666669</v>
      </c>
      <c r="V144" s="9"/>
      <c r="W144" s="9"/>
      <c r="X144" s="5">
        <v>1</v>
      </c>
      <c r="Y144" s="1">
        <v>7</v>
      </c>
      <c r="Z144" s="25">
        <v>27.1</v>
      </c>
      <c r="AA144" s="12"/>
    </row>
    <row r="145" spans="1:27" ht="17.100000000000001" customHeight="1" x14ac:dyDescent="0.45">
      <c r="A145" s="5">
        <v>143</v>
      </c>
      <c r="B145" s="7">
        <v>151401</v>
      </c>
      <c r="C145" s="2" t="s">
        <v>456</v>
      </c>
      <c r="D145" s="36" t="s">
        <v>128</v>
      </c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45">
        <v>0.16666666666666666</v>
      </c>
      <c r="V145" s="45"/>
      <c r="W145" s="45"/>
      <c r="X145" s="5">
        <v>1</v>
      </c>
      <c r="Y145" s="1">
        <v>7</v>
      </c>
      <c r="Z145" s="25">
        <v>22.1</v>
      </c>
      <c r="AA145" s="12"/>
    </row>
    <row r="146" spans="1:27" ht="17.100000000000001" customHeight="1" x14ac:dyDescent="0.45">
      <c r="A146" s="5">
        <v>144</v>
      </c>
      <c r="B146" s="7">
        <v>151406</v>
      </c>
      <c r="C146" s="2" t="s">
        <v>457</v>
      </c>
      <c r="D146" s="36" t="s">
        <v>128</v>
      </c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9"/>
      <c r="V146" s="9"/>
      <c r="W146" s="9"/>
      <c r="X146" s="12">
        <v>1</v>
      </c>
      <c r="Y146" s="1"/>
      <c r="Z146" s="25"/>
      <c r="AA146" s="12"/>
    </row>
    <row r="147" spans="1:27" ht="17.100000000000001" customHeight="1" x14ac:dyDescent="0.45">
      <c r="A147" s="5">
        <v>145</v>
      </c>
      <c r="B147" s="7">
        <v>151404</v>
      </c>
      <c r="C147" s="2" t="s">
        <v>458</v>
      </c>
      <c r="D147" s="36" t="s">
        <v>128</v>
      </c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9">
        <v>0.25</v>
      </c>
      <c r="V147" s="9"/>
      <c r="W147" s="9"/>
      <c r="X147" s="12">
        <v>1</v>
      </c>
      <c r="Y147" s="1">
        <v>7</v>
      </c>
      <c r="Z147" s="25">
        <v>25.3</v>
      </c>
      <c r="AA147" s="12"/>
    </row>
    <row r="148" spans="1:27" ht="17.100000000000001" customHeight="1" x14ac:dyDescent="0.45">
      <c r="A148" s="5">
        <v>146</v>
      </c>
      <c r="B148" s="7">
        <v>151401</v>
      </c>
      <c r="C148" s="2" t="s">
        <v>459</v>
      </c>
      <c r="D148" s="36" t="s">
        <v>128</v>
      </c>
      <c r="E148" s="36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45">
        <v>0.16666666666666666</v>
      </c>
      <c r="V148" s="45"/>
      <c r="W148" s="45"/>
      <c r="X148" s="5">
        <v>1</v>
      </c>
      <c r="Y148" s="1">
        <v>7</v>
      </c>
      <c r="Z148" s="25">
        <v>22.1</v>
      </c>
      <c r="AA148" s="12"/>
    </row>
    <row r="149" spans="1:27" ht="17.100000000000001" customHeight="1" x14ac:dyDescent="0.45">
      <c r="A149" s="5">
        <v>147</v>
      </c>
      <c r="B149" s="7" t="s">
        <v>461</v>
      </c>
      <c r="C149" s="2" t="s">
        <v>460</v>
      </c>
      <c r="D149" s="36" t="s">
        <v>129</v>
      </c>
      <c r="E149" s="36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9"/>
      <c r="V149" s="9"/>
      <c r="W149" s="9"/>
      <c r="X149" s="5">
        <v>1</v>
      </c>
      <c r="Y149" s="1"/>
      <c r="Z149" s="25"/>
      <c r="AA149" s="12"/>
    </row>
    <row r="150" spans="1:27" ht="17.100000000000001" customHeight="1" x14ac:dyDescent="0.45">
      <c r="A150" s="5">
        <v>148</v>
      </c>
      <c r="B150" s="7">
        <v>152403</v>
      </c>
      <c r="C150" s="2" t="s">
        <v>462</v>
      </c>
      <c r="D150" s="36" t="s">
        <v>129</v>
      </c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9">
        <v>0.25</v>
      </c>
      <c r="V150" s="9"/>
      <c r="W150" s="9"/>
      <c r="X150" s="5">
        <v>1</v>
      </c>
      <c r="Y150" s="1">
        <v>7</v>
      </c>
      <c r="Z150" s="25">
        <v>24.2</v>
      </c>
      <c r="AA150" s="12"/>
    </row>
    <row r="151" spans="1:27" ht="17.100000000000001" customHeight="1" x14ac:dyDescent="0.45">
      <c r="A151" s="5">
        <v>149</v>
      </c>
      <c r="B151" s="7">
        <v>152401</v>
      </c>
      <c r="C151" s="2" t="s">
        <v>463</v>
      </c>
      <c r="D151" s="36" t="s">
        <v>129</v>
      </c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9"/>
      <c r="V151" s="9"/>
      <c r="W151" s="9"/>
      <c r="X151" s="5">
        <v>1</v>
      </c>
      <c r="Y151" s="1"/>
      <c r="Z151" s="25"/>
      <c r="AA151" s="12"/>
    </row>
    <row r="152" spans="1:27" ht="17.100000000000001" customHeight="1" x14ac:dyDescent="0.45">
      <c r="A152" s="5">
        <v>150</v>
      </c>
      <c r="B152" s="7">
        <v>152406</v>
      </c>
      <c r="C152" s="2" t="s">
        <v>464</v>
      </c>
      <c r="D152" s="36" t="s">
        <v>129</v>
      </c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9"/>
      <c r="V152" s="9"/>
      <c r="W152" s="9"/>
      <c r="X152" s="12">
        <v>1</v>
      </c>
      <c r="Y152" s="1"/>
      <c r="Z152" s="25"/>
      <c r="AA152" s="12"/>
    </row>
    <row r="153" spans="1:27" ht="17.100000000000001" customHeight="1" x14ac:dyDescent="0.45">
      <c r="A153" s="5">
        <v>151</v>
      </c>
      <c r="B153" s="7">
        <v>152404</v>
      </c>
      <c r="C153" s="2" t="s">
        <v>465</v>
      </c>
      <c r="D153" s="36" t="s">
        <v>129</v>
      </c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9"/>
      <c r="V153" s="9"/>
      <c r="W153" s="9"/>
      <c r="X153" s="12">
        <v>1</v>
      </c>
      <c r="Y153" s="1"/>
      <c r="Z153" s="25"/>
      <c r="AA153" s="12"/>
    </row>
    <row r="154" spans="1:27" ht="17.100000000000001" customHeight="1" x14ac:dyDescent="0.45">
      <c r="A154" s="5">
        <v>152</v>
      </c>
      <c r="B154" s="7">
        <v>152401</v>
      </c>
      <c r="C154" s="2" t="s">
        <v>466</v>
      </c>
      <c r="D154" s="36" t="s">
        <v>129</v>
      </c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9"/>
      <c r="V154" s="9"/>
      <c r="W154" s="9"/>
      <c r="X154" s="5">
        <v>1</v>
      </c>
      <c r="Y154" s="1"/>
      <c r="Z154" s="25"/>
      <c r="AA154" s="12"/>
    </row>
    <row r="155" spans="1:27" ht="17.100000000000001" customHeight="1" x14ac:dyDescent="0.45">
      <c r="A155" s="5">
        <v>153</v>
      </c>
      <c r="B155" s="7" t="s">
        <v>468</v>
      </c>
      <c r="C155" s="2" t="s">
        <v>467</v>
      </c>
      <c r="D155" s="36" t="s">
        <v>130</v>
      </c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9">
        <v>0.25</v>
      </c>
      <c r="V155" s="9"/>
      <c r="W155" s="9"/>
      <c r="X155" s="5">
        <v>1</v>
      </c>
      <c r="Y155" s="1">
        <v>7</v>
      </c>
      <c r="Z155" s="25">
        <v>28.3</v>
      </c>
      <c r="AA155" s="12"/>
    </row>
    <row r="156" spans="1:27" ht="17.100000000000001" customHeight="1" x14ac:dyDescent="0.45">
      <c r="A156" s="5">
        <v>154</v>
      </c>
      <c r="B156" s="7">
        <v>153403</v>
      </c>
      <c r="C156" s="2" t="s">
        <v>469</v>
      </c>
      <c r="D156" s="36" t="s">
        <v>130</v>
      </c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9"/>
      <c r="V156" s="9"/>
      <c r="W156" s="9"/>
      <c r="X156" s="5">
        <v>1</v>
      </c>
      <c r="Y156" s="1"/>
      <c r="Z156" s="25"/>
      <c r="AA156" s="12"/>
    </row>
    <row r="157" spans="1:27" ht="17.100000000000001" customHeight="1" x14ac:dyDescent="0.45">
      <c r="A157" s="5">
        <v>155</v>
      </c>
      <c r="B157" s="7">
        <v>153401</v>
      </c>
      <c r="C157" s="2" t="s">
        <v>470</v>
      </c>
      <c r="D157" s="36" t="s">
        <v>130</v>
      </c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9"/>
      <c r="V157" s="9"/>
      <c r="W157" s="9"/>
      <c r="X157" s="5">
        <v>1</v>
      </c>
      <c r="Y157" s="1"/>
      <c r="Z157" s="25"/>
      <c r="AA157" s="12"/>
    </row>
    <row r="158" spans="1:27" ht="17.100000000000001" customHeight="1" x14ac:dyDescent="0.45">
      <c r="A158" s="5">
        <v>156</v>
      </c>
      <c r="B158" s="7">
        <v>153406</v>
      </c>
      <c r="C158" s="2" t="s">
        <v>471</v>
      </c>
      <c r="D158" s="36" t="s">
        <v>130</v>
      </c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9"/>
      <c r="V158" s="9"/>
      <c r="W158" s="9"/>
      <c r="X158" s="12">
        <v>1</v>
      </c>
      <c r="Y158" s="1"/>
      <c r="Z158" s="25"/>
      <c r="AA158" s="12"/>
    </row>
    <row r="159" spans="1:27" ht="17.100000000000001" customHeight="1" x14ac:dyDescent="0.45">
      <c r="A159" s="5">
        <v>157</v>
      </c>
      <c r="B159" s="7">
        <v>153404</v>
      </c>
      <c r="C159" s="2" t="s">
        <v>472</v>
      </c>
      <c r="D159" s="36" t="s">
        <v>130</v>
      </c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9"/>
      <c r="V159" s="9"/>
      <c r="W159" s="9"/>
      <c r="X159" s="12">
        <v>1</v>
      </c>
      <c r="Y159" s="1"/>
      <c r="Z159" s="25"/>
      <c r="AA159" s="12"/>
    </row>
    <row r="160" spans="1:27" ht="17.100000000000001" customHeight="1" x14ac:dyDescent="0.45">
      <c r="A160" s="5">
        <v>158</v>
      </c>
      <c r="B160" s="7">
        <v>153401</v>
      </c>
      <c r="C160" s="2" t="s">
        <v>473</v>
      </c>
      <c r="D160" s="36" t="s">
        <v>130</v>
      </c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9"/>
      <c r="V160" s="9"/>
      <c r="W160" s="9"/>
      <c r="X160" s="5">
        <v>1</v>
      </c>
      <c r="Y160" s="1"/>
      <c r="Z160" s="25"/>
      <c r="AA160" s="12"/>
    </row>
    <row r="161" spans="1:27" ht="17.100000000000001" customHeight="1" x14ac:dyDescent="0.45">
      <c r="A161" s="5">
        <v>159</v>
      </c>
      <c r="B161" s="7" t="s">
        <v>474</v>
      </c>
      <c r="C161" s="2" t="s">
        <v>857</v>
      </c>
      <c r="D161" s="36" t="s">
        <v>128</v>
      </c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42">
        <v>0.125</v>
      </c>
      <c r="V161" s="42"/>
      <c r="W161" s="42"/>
      <c r="X161" s="12">
        <v>1</v>
      </c>
      <c r="Y161" s="1">
        <v>3</v>
      </c>
      <c r="Z161" s="25">
        <v>10.6</v>
      </c>
      <c r="AA161" s="12"/>
    </row>
    <row r="162" spans="1:27" ht="17.100000000000001" customHeight="1" x14ac:dyDescent="0.45">
      <c r="A162" s="5">
        <v>160</v>
      </c>
      <c r="B162" s="7" t="s">
        <v>475</v>
      </c>
      <c r="C162" s="2" t="s">
        <v>858</v>
      </c>
      <c r="D162" s="36" t="s">
        <v>128</v>
      </c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9">
        <v>6.9444444444444441E-3</v>
      </c>
      <c r="V162" s="9"/>
      <c r="W162" s="9"/>
      <c r="X162" s="12">
        <v>1</v>
      </c>
      <c r="Y162" s="1">
        <v>1</v>
      </c>
      <c r="Z162" s="25">
        <v>12.5</v>
      </c>
      <c r="AA162" s="12"/>
    </row>
    <row r="163" spans="1:27" ht="17.100000000000001" customHeight="1" x14ac:dyDescent="0.45">
      <c r="A163" s="5">
        <v>161</v>
      </c>
      <c r="B163" s="7">
        <v>150177</v>
      </c>
      <c r="C163" s="2" t="s">
        <v>859</v>
      </c>
      <c r="D163" s="36" t="s">
        <v>126</v>
      </c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9"/>
      <c r="V163" s="9"/>
      <c r="W163" s="9"/>
      <c r="X163" s="12">
        <v>1</v>
      </c>
      <c r="Y163" s="1">
        <v>3</v>
      </c>
      <c r="Z163" s="25"/>
      <c r="AA163" s="12"/>
    </row>
    <row r="164" spans="1:27" ht="17.100000000000001" customHeight="1" x14ac:dyDescent="0.45">
      <c r="A164" s="5">
        <v>162</v>
      </c>
      <c r="B164" s="7">
        <v>150178</v>
      </c>
      <c r="C164" s="2" t="s">
        <v>860</v>
      </c>
      <c r="D164" s="36" t="s">
        <v>126</v>
      </c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9"/>
      <c r="V164" s="9"/>
      <c r="W164" s="9"/>
      <c r="X164" s="12">
        <v>1</v>
      </c>
      <c r="Y164" s="1">
        <v>1</v>
      </c>
      <c r="Z164" s="25"/>
      <c r="AA164" s="12"/>
    </row>
    <row r="165" spans="1:27" ht="17.100000000000001" customHeight="1" x14ac:dyDescent="0.45">
      <c r="A165" s="5">
        <v>163</v>
      </c>
      <c r="B165" s="7">
        <v>152177</v>
      </c>
      <c r="C165" s="2" t="s">
        <v>861</v>
      </c>
      <c r="D165" s="36" t="s">
        <v>129</v>
      </c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9"/>
      <c r="V165" s="9"/>
      <c r="W165" s="9"/>
      <c r="X165" s="12">
        <v>1</v>
      </c>
      <c r="Y165" s="1">
        <v>3</v>
      </c>
      <c r="Z165" s="25"/>
      <c r="AA165" s="12"/>
    </row>
    <row r="166" spans="1:27" ht="17.100000000000001" customHeight="1" x14ac:dyDescent="0.45">
      <c r="A166" s="5">
        <v>164</v>
      </c>
      <c r="B166" s="7">
        <v>152178</v>
      </c>
      <c r="C166" s="2" t="s">
        <v>862</v>
      </c>
      <c r="D166" s="36" t="s">
        <v>129</v>
      </c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9"/>
      <c r="V166" s="9"/>
      <c r="W166" s="9"/>
      <c r="X166" s="12">
        <v>1</v>
      </c>
      <c r="Y166" s="1">
        <v>1</v>
      </c>
      <c r="Z166" s="25"/>
      <c r="AA166" s="12"/>
    </row>
    <row r="167" spans="1:27" ht="17.100000000000001" customHeight="1" x14ac:dyDescent="0.45">
      <c r="A167" s="5">
        <v>165</v>
      </c>
      <c r="B167" s="7">
        <v>153177</v>
      </c>
      <c r="C167" s="2" t="s">
        <v>863</v>
      </c>
      <c r="D167" s="36" t="s">
        <v>865</v>
      </c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42">
        <v>6.25E-2</v>
      </c>
      <c r="V167" s="42"/>
      <c r="W167" s="42"/>
      <c r="X167" s="12">
        <v>1</v>
      </c>
      <c r="Y167" s="1">
        <v>3</v>
      </c>
      <c r="Z167" s="25"/>
      <c r="AA167" s="12"/>
    </row>
    <row r="168" spans="1:27" ht="17.100000000000001" customHeight="1" x14ac:dyDescent="0.45">
      <c r="A168" s="5">
        <v>166</v>
      </c>
      <c r="B168" s="7">
        <v>153178</v>
      </c>
      <c r="C168" s="2" t="s">
        <v>864</v>
      </c>
      <c r="D168" s="36" t="s">
        <v>865</v>
      </c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42">
        <v>1.0416666666666666E-2</v>
      </c>
      <c r="V168" s="42"/>
      <c r="W168" s="42"/>
      <c r="X168" s="12">
        <v>1</v>
      </c>
      <c r="Y168" s="1">
        <v>1</v>
      </c>
      <c r="Z168" s="25">
        <v>21</v>
      </c>
      <c r="AA168" s="12"/>
    </row>
    <row r="169" spans="1:27" ht="17.100000000000001" customHeight="1" x14ac:dyDescent="0.4">
      <c r="A169" s="5">
        <v>167</v>
      </c>
      <c r="B169" s="19">
        <v>921505</v>
      </c>
      <c r="C169" s="18" t="s">
        <v>476</v>
      </c>
      <c r="D169" s="36" t="s">
        <v>58</v>
      </c>
      <c r="E169" s="36"/>
      <c r="F169" s="36"/>
      <c r="G169" s="36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9"/>
      <c r="V169" s="9"/>
      <c r="W169" s="9"/>
      <c r="X169" s="12">
        <v>1</v>
      </c>
      <c r="Y169" s="1"/>
      <c r="Z169" s="25"/>
      <c r="AA169" s="12"/>
    </row>
    <row r="170" spans="1:27" ht="17.100000000000001" customHeight="1" x14ac:dyDescent="0.4">
      <c r="A170" s="5">
        <v>168</v>
      </c>
      <c r="B170" s="19">
        <v>911505</v>
      </c>
      <c r="C170" s="18" t="s">
        <v>477</v>
      </c>
      <c r="D170" s="36" t="s">
        <v>58</v>
      </c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9"/>
      <c r="V170" s="9"/>
      <c r="W170" s="9"/>
      <c r="X170" s="12">
        <v>1</v>
      </c>
      <c r="Y170" s="1">
        <v>1</v>
      </c>
      <c r="Z170" s="25">
        <v>43.3</v>
      </c>
      <c r="AA170" s="12"/>
    </row>
    <row r="171" spans="1:27" ht="17.100000000000001" customHeight="1" x14ac:dyDescent="0.4">
      <c r="A171" s="5">
        <v>169</v>
      </c>
      <c r="B171" s="21">
        <v>921405</v>
      </c>
      <c r="C171" s="20" t="s">
        <v>478</v>
      </c>
      <c r="D171" s="36" t="s">
        <v>58</v>
      </c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9"/>
      <c r="V171" s="9"/>
      <c r="W171" s="9"/>
      <c r="X171" s="12">
        <v>1</v>
      </c>
      <c r="Y171" s="1"/>
      <c r="Z171" s="25"/>
      <c r="AA171" s="12"/>
    </row>
    <row r="172" spans="1:27" ht="17.100000000000001" customHeight="1" x14ac:dyDescent="0.4">
      <c r="A172" s="5">
        <v>170</v>
      </c>
      <c r="B172" s="21">
        <v>911405</v>
      </c>
      <c r="C172" s="20" t="s">
        <v>479</v>
      </c>
      <c r="D172" s="36" t="s">
        <v>58</v>
      </c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9"/>
      <c r="V172" s="9"/>
      <c r="W172" s="9"/>
      <c r="X172" s="12">
        <v>1</v>
      </c>
      <c r="Y172" s="1"/>
      <c r="Z172" s="25"/>
      <c r="AA172" s="12"/>
    </row>
    <row r="173" spans="1:27" ht="36" x14ac:dyDescent="0.45">
      <c r="A173" s="5">
        <v>171</v>
      </c>
      <c r="B173" s="7">
        <v>150915</v>
      </c>
      <c r="C173" s="13" t="s">
        <v>480</v>
      </c>
      <c r="D173" s="36" t="s">
        <v>126</v>
      </c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9"/>
      <c r="V173" s="9"/>
      <c r="W173" s="9"/>
      <c r="X173" s="1"/>
      <c r="Y173" s="1"/>
      <c r="Z173" s="25"/>
      <c r="AA173" s="1"/>
    </row>
    <row r="174" spans="1:27" ht="18" x14ac:dyDescent="0.45">
      <c r="A174" s="5">
        <v>172</v>
      </c>
      <c r="B174" s="7">
        <v>150711</v>
      </c>
      <c r="C174" s="2" t="s">
        <v>482</v>
      </c>
      <c r="D174" s="36" t="s">
        <v>126</v>
      </c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9"/>
      <c r="V174" s="9"/>
      <c r="W174" s="9"/>
      <c r="X174" s="12"/>
      <c r="Y174" s="1"/>
      <c r="Z174" s="25"/>
      <c r="AA174" s="12"/>
    </row>
    <row r="175" spans="1:27" ht="18" x14ac:dyDescent="0.45">
      <c r="A175" s="5">
        <v>173</v>
      </c>
      <c r="B175" s="7">
        <v>150715</v>
      </c>
      <c r="C175" s="2" t="s">
        <v>483</v>
      </c>
      <c r="D175" s="36" t="s">
        <v>126</v>
      </c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9"/>
      <c r="V175" s="9"/>
      <c r="W175" s="9"/>
      <c r="X175" s="12"/>
      <c r="Y175" s="1"/>
      <c r="Z175" s="25"/>
      <c r="AA175" s="12"/>
    </row>
    <row r="176" spans="1:27" ht="18" x14ac:dyDescent="0.2">
      <c r="A176" s="5">
        <v>174</v>
      </c>
      <c r="B176" s="7">
        <v>150701</v>
      </c>
      <c r="C176" s="129" t="s">
        <v>373</v>
      </c>
      <c r="D176" s="36" t="s">
        <v>126</v>
      </c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9"/>
      <c r="V176" s="9"/>
      <c r="W176" s="9"/>
      <c r="X176" s="12"/>
      <c r="Y176" s="1"/>
      <c r="Z176" s="25"/>
      <c r="AA176" s="12"/>
    </row>
    <row r="177" spans="1:27" ht="18" x14ac:dyDescent="0.2">
      <c r="A177" s="5">
        <v>175</v>
      </c>
      <c r="B177" s="7">
        <v>150705</v>
      </c>
      <c r="C177" s="129"/>
      <c r="D177" s="36" t="s">
        <v>126</v>
      </c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9"/>
      <c r="V177" s="9"/>
      <c r="W177" s="9"/>
      <c r="X177" s="12"/>
      <c r="Y177" s="1"/>
      <c r="Z177" s="25"/>
      <c r="AA177" s="12"/>
    </row>
    <row r="178" spans="1:27" ht="36" x14ac:dyDescent="0.45">
      <c r="A178" s="5">
        <v>176</v>
      </c>
      <c r="B178" s="7">
        <v>152915</v>
      </c>
      <c r="C178" s="13" t="s">
        <v>480</v>
      </c>
      <c r="D178" s="36" t="s">
        <v>129</v>
      </c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9"/>
      <c r="V178" s="9"/>
      <c r="W178" s="9"/>
      <c r="X178" s="1"/>
      <c r="Y178" s="1"/>
      <c r="Z178" s="25"/>
      <c r="AA178" s="1"/>
    </row>
    <row r="179" spans="1:27" ht="18" x14ac:dyDescent="0.45">
      <c r="A179" s="5">
        <v>177</v>
      </c>
      <c r="B179" s="7">
        <v>152711</v>
      </c>
      <c r="C179" s="2" t="s">
        <v>482</v>
      </c>
      <c r="D179" s="36" t="s">
        <v>129</v>
      </c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9"/>
      <c r="V179" s="9"/>
      <c r="W179" s="9"/>
      <c r="X179" s="12"/>
      <c r="Y179" s="1"/>
      <c r="Z179" s="25"/>
      <c r="AA179" s="12"/>
    </row>
    <row r="180" spans="1:27" ht="18" x14ac:dyDescent="0.45">
      <c r="A180" s="5">
        <v>178</v>
      </c>
      <c r="B180" s="7">
        <v>152715</v>
      </c>
      <c r="C180" s="2" t="s">
        <v>483</v>
      </c>
      <c r="D180" s="36" t="s">
        <v>129</v>
      </c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9"/>
      <c r="V180" s="9"/>
      <c r="W180" s="9"/>
      <c r="X180" s="12"/>
      <c r="Y180" s="1"/>
      <c r="Z180" s="25"/>
      <c r="AA180" s="12"/>
    </row>
    <row r="181" spans="1:27" ht="18" x14ac:dyDescent="0.2">
      <c r="A181" s="5">
        <v>179</v>
      </c>
      <c r="B181" s="7">
        <v>152701</v>
      </c>
      <c r="C181" s="129" t="s">
        <v>373</v>
      </c>
      <c r="D181" s="36" t="s">
        <v>129</v>
      </c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9"/>
      <c r="V181" s="9"/>
      <c r="W181" s="9"/>
      <c r="X181" s="12"/>
      <c r="Y181" s="1"/>
      <c r="Z181" s="25"/>
      <c r="AA181" s="12"/>
    </row>
    <row r="182" spans="1:27" ht="18" x14ac:dyDescent="0.2">
      <c r="A182" s="5">
        <v>180</v>
      </c>
      <c r="B182" s="7">
        <v>152705</v>
      </c>
      <c r="C182" s="129"/>
      <c r="D182" s="36" t="s">
        <v>129</v>
      </c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9"/>
      <c r="V182" s="9"/>
      <c r="W182" s="9"/>
      <c r="X182" s="12"/>
      <c r="Y182" s="1"/>
      <c r="Z182" s="25"/>
      <c r="AA182" s="12"/>
    </row>
    <row r="183" spans="1:27" ht="36" x14ac:dyDescent="0.45">
      <c r="A183" s="5">
        <v>181</v>
      </c>
      <c r="B183" s="7">
        <v>153915</v>
      </c>
      <c r="C183" s="13" t="s">
        <v>480</v>
      </c>
      <c r="D183" s="36" t="s">
        <v>865</v>
      </c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9"/>
      <c r="V183" s="9"/>
      <c r="W183" s="9"/>
      <c r="X183" s="1"/>
      <c r="Y183" s="1"/>
      <c r="Z183" s="25"/>
      <c r="AA183" s="1"/>
    </row>
    <row r="184" spans="1:27" ht="18" x14ac:dyDescent="0.45">
      <c r="A184" s="5">
        <v>182</v>
      </c>
      <c r="B184" s="7">
        <v>153711</v>
      </c>
      <c r="C184" s="2" t="s">
        <v>482</v>
      </c>
      <c r="D184" s="36" t="s">
        <v>865</v>
      </c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9"/>
      <c r="V184" s="9"/>
      <c r="W184" s="9"/>
      <c r="X184" s="12"/>
      <c r="Y184" s="1"/>
      <c r="Z184" s="25"/>
      <c r="AA184" s="12"/>
    </row>
    <row r="185" spans="1:27" ht="18" x14ac:dyDescent="0.45">
      <c r="A185" s="5">
        <v>183</v>
      </c>
      <c r="B185" s="7">
        <v>153715</v>
      </c>
      <c r="C185" s="2" t="s">
        <v>483</v>
      </c>
      <c r="D185" s="36" t="s">
        <v>865</v>
      </c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9"/>
      <c r="V185" s="9"/>
      <c r="W185" s="9"/>
      <c r="X185" s="12"/>
      <c r="Y185" s="1"/>
      <c r="Z185" s="25"/>
      <c r="AA185" s="12"/>
    </row>
    <row r="186" spans="1:27" ht="18" x14ac:dyDescent="0.2">
      <c r="A186" s="5">
        <v>184</v>
      </c>
      <c r="B186" s="7">
        <v>153701</v>
      </c>
      <c r="C186" s="129" t="s">
        <v>373</v>
      </c>
      <c r="D186" s="36" t="s">
        <v>865</v>
      </c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9"/>
      <c r="V186" s="9"/>
      <c r="W186" s="9"/>
      <c r="X186" s="12"/>
      <c r="Y186" s="1"/>
      <c r="Z186" s="25"/>
      <c r="AA186" s="12"/>
    </row>
    <row r="187" spans="1:27" ht="18" x14ac:dyDescent="0.2">
      <c r="A187" s="5">
        <v>185</v>
      </c>
      <c r="B187" s="7">
        <v>153705</v>
      </c>
      <c r="C187" s="129"/>
      <c r="D187" s="36" t="s">
        <v>865</v>
      </c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9"/>
      <c r="V187" s="9"/>
      <c r="W187" s="9"/>
      <c r="X187" s="12"/>
      <c r="Y187" s="1"/>
      <c r="Z187" s="25"/>
      <c r="AA187" s="12"/>
    </row>
    <row r="188" spans="1:27" ht="36" x14ac:dyDescent="0.45">
      <c r="A188" s="5">
        <v>186</v>
      </c>
      <c r="B188" s="7" t="s">
        <v>481</v>
      </c>
      <c r="C188" s="13" t="s">
        <v>480</v>
      </c>
      <c r="D188" s="36" t="s">
        <v>128</v>
      </c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9"/>
      <c r="V188" s="9"/>
      <c r="W188" s="9"/>
      <c r="X188" s="1"/>
      <c r="Y188" s="1"/>
      <c r="Z188" s="25"/>
      <c r="AA188" s="1"/>
    </row>
    <row r="189" spans="1:27" ht="18" x14ac:dyDescent="0.45">
      <c r="A189" s="5">
        <v>187</v>
      </c>
      <c r="B189" s="7">
        <v>151711</v>
      </c>
      <c r="C189" s="2" t="s">
        <v>482</v>
      </c>
      <c r="D189" s="36" t="s">
        <v>128</v>
      </c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9"/>
      <c r="V189" s="9"/>
      <c r="W189" s="9"/>
      <c r="X189" s="12"/>
      <c r="Y189" s="1"/>
      <c r="Z189" s="25"/>
      <c r="AA189" s="12"/>
    </row>
    <row r="190" spans="1:27" ht="18" x14ac:dyDescent="0.45">
      <c r="A190" s="5">
        <v>188</v>
      </c>
      <c r="B190" s="7">
        <v>151715</v>
      </c>
      <c r="C190" s="2" t="s">
        <v>483</v>
      </c>
      <c r="D190" s="36" t="s">
        <v>128</v>
      </c>
      <c r="E190" s="36"/>
      <c r="F190" s="36"/>
      <c r="G190" s="36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9"/>
      <c r="V190" s="9"/>
      <c r="W190" s="9"/>
      <c r="X190" s="12"/>
      <c r="Y190" s="1"/>
      <c r="Z190" s="25"/>
      <c r="AA190" s="12"/>
    </row>
    <row r="191" spans="1:27" ht="18" x14ac:dyDescent="0.2">
      <c r="A191" s="5">
        <v>189</v>
      </c>
      <c r="B191" s="7">
        <v>151701</v>
      </c>
      <c r="C191" s="129" t="s">
        <v>373</v>
      </c>
      <c r="D191" s="36" t="s">
        <v>128</v>
      </c>
      <c r="E191" s="36"/>
      <c r="F191" s="36"/>
      <c r="G191" s="36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9"/>
      <c r="V191" s="9"/>
      <c r="W191" s="9"/>
      <c r="X191" s="12"/>
      <c r="Y191" s="1"/>
      <c r="Z191" s="25"/>
      <c r="AA191" s="12"/>
    </row>
    <row r="192" spans="1:27" ht="18" x14ac:dyDescent="0.2">
      <c r="A192" s="5">
        <v>190</v>
      </c>
      <c r="B192" s="7">
        <v>151705</v>
      </c>
      <c r="C192" s="129"/>
      <c r="D192" s="36" t="s">
        <v>128</v>
      </c>
      <c r="E192" s="36"/>
      <c r="F192" s="36"/>
      <c r="G192" s="36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9"/>
      <c r="V192" s="9"/>
      <c r="W192" s="9"/>
      <c r="X192" s="12"/>
      <c r="Y192" s="1"/>
      <c r="Z192" s="25"/>
      <c r="AA192" s="12"/>
    </row>
    <row r="193" spans="1:27" ht="27" customHeight="1" x14ac:dyDescent="0.2">
      <c r="A193" s="5">
        <v>191</v>
      </c>
      <c r="B193" s="7" t="s">
        <v>484</v>
      </c>
      <c r="C193" s="10" t="s">
        <v>380</v>
      </c>
      <c r="D193" s="36" t="s">
        <v>175</v>
      </c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9">
        <v>0.54166666666666663</v>
      </c>
      <c r="V193" s="9"/>
      <c r="W193" s="9"/>
      <c r="X193" s="15">
        <v>3</v>
      </c>
      <c r="Y193" s="1">
        <v>5</v>
      </c>
      <c r="Z193" s="25">
        <v>64.7</v>
      </c>
      <c r="AA193" s="16"/>
    </row>
    <row r="194" spans="1:27" ht="17.100000000000001" customHeight="1" x14ac:dyDescent="0.45">
      <c r="A194" s="5">
        <v>192</v>
      </c>
      <c r="B194" s="7" t="s">
        <v>485</v>
      </c>
      <c r="C194" s="2" t="s">
        <v>22</v>
      </c>
      <c r="D194" s="36" t="s">
        <v>175</v>
      </c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9"/>
      <c r="V194" s="9"/>
      <c r="W194" s="9"/>
      <c r="X194" s="5">
        <v>1</v>
      </c>
      <c r="Y194" s="1"/>
      <c r="Z194" s="25"/>
      <c r="AA194" s="12"/>
    </row>
    <row r="195" spans="1:27" ht="17.100000000000001" customHeight="1" x14ac:dyDescent="0.45">
      <c r="A195" s="5">
        <v>193</v>
      </c>
      <c r="B195" s="7" t="s">
        <v>486</v>
      </c>
      <c r="C195" s="2" t="s">
        <v>180</v>
      </c>
      <c r="D195" s="36" t="s">
        <v>175</v>
      </c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9"/>
      <c r="V195" s="9"/>
      <c r="W195" s="9"/>
      <c r="X195" s="12">
        <v>1</v>
      </c>
      <c r="Y195" s="1"/>
      <c r="Z195" s="25"/>
      <c r="AA195" s="12"/>
    </row>
    <row r="196" spans="1:27" ht="17.100000000000001" customHeight="1" x14ac:dyDescent="0.45">
      <c r="A196" s="5">
        <v>194</v>
      </c>
      <c r="B196" s="7" t="s">
        <v>488</v>
      </c>
      <c r="C196" s="2" t="s">
        <v>487</v>
      </c>
      <c r="D196" s="36" t="s">
        <v>175</v>
      </c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9"/>
      <c r="V196" s="9"/>
      <c r="W196" s="9"/>
      <c r="X196" s="5">
        <v>1</v>
      </c>
      <c r="Y196" s="1">
        <v>3</v>
      </c>
      <c r="Z196" s="25">
        <v>48.1</v>
      </c>
      <c r="AA196" s="25"/>
    </row>
    <row r="197" spans="1:27" ht="17.100000000000001" customHeight="1" x14ac:dyDescent="0.45">
      <c r="A197" s="5">
        <v>195</v>
      </c>
      <c r="B197" s="7" t="s">
        <v>490</v>
      </c>
      <c r="C197" s="2" t="s">
        <v>489</v>
      </c>
      <c r="D197" s="36" t="s">
        <v>175</v>
      </c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9">
        <v>0.625</v>
      </c>
      <c r="V197" s="9"/>
      <c r="W197" s="9"/>
      <c r="X197" s="12">
        <v>2</v>
      </c>
      <c r="Y197" s="1">
        <v>6</v>
      </c>
      <c r="Z197" s="25">
        <v>69.400000000000006</v>
      </c>
      <c r="AA197" s="25"/>
    </row>
    <row r="198" spans="1:27" ht="17.100000000000001" customHeight="1" x14ac:dyDescent="0.45">
      <c r="A198" s="5">
        <v>196</v>
      </c>
      <c r="B198" s="7" t="s">
        <v>492</v>
      </c>
      <c r="C198" s="2" t="s">
        <v>491</v>
      </c>
      <c r="D198" s="36" t="s">
        <v>175</v>
      </c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9">
        <v>0.83333333333333337</v>
      </c>
      <c r="V198" s="9"/>
      <c r="W198" s="9"/>
      <c r="X198" s="5">
        <v>3</v>
      </c>
      <c r="Y198" s="1">
        <v>7</v>
      </c>
      <c r="Z198" s="25">
        <v>81.2</v>
      </c>
      <c r="AA198" s="25"/>
    </row>
    <row r="199" spans="1:27" ht="17.100000000000001" customHeight="1" x14ac:dyDescent="0.45">
      <c r="A199" s="5">
        <v>197</v>
      </c>
      <c r="B199" s="7" t="s">
        <v>493</v>
      </c>
      <c r="C199" s="2" t="s">
        <v>25</v>
      </c>
      <c r="D199" s="36" t="s">
        <v>175</v>
      </c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9">
        <v>0.25</v>
      </c>
      <c r="V199" s="9"/>
      <c r="W199" s="9"/>
      <c r="X199" s="5">
        <v>1</v>
      </c>
      <c r="Y199" s="1">
        <v>2</v>
      </c>
      <c r="Z199" s="25">
        <v>45</v>
      </c>
      <c r="AA199" s="12"/>
    </row>
    <row r="200" spans="1:27" ht="27" customHeight="1" x14ac:dyDescent="0.2">
      <c r="A200" s="5">
        <v>198</v>
      </c>
      <c r="B200" s="7">
        <v>118101</v>
      </c>
      <c r="C200" s="10" t="s">
        <v>380</v>
      </c>
      <c r="D200" s="36" t="s">
        <v>176</v>
      </c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42">
        <v>0.70833333333333337</v>
      </c>
      <c r="V200" s="42"/>
      <c r="W200" s="42"/>
      <c r="X200" s="15">
        <v>3</v>
      </c>
      <c r="Y200" s="1">
        <v>5</v>
      </c>
      <c r="Z200" s="25">
        <v>63</v>
      </c>
      <c r="AA200" s="16"/>
    </row>
    <row r="201" spans="1:27" ht="17.100000000000001" customHeight="1" x14ac:dyDescent="0.45">
      <c r="A201" s="5">
        <v>199</v>
      </c>
      <c r="B201" s="7">
        <v>118191</v>
      </c>
      <c r="C201" s="2" t="s">
        <v>22</v>
      </c>
      <c r="D201" s="36" t="s">
        <v>176</v>
      </c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42">
        <v>0.25</v>
      </c>
      <c r="V201" s="42"/>
      <c r="W201" s="42"/>
      <c r="X201" s="5">
        <v>1</v>
      </c>
      <c r="Y201" s="1">
        <v>1</v>
      </c>
      <c r="Z201" s="25">
        <v>14.1</v>
      </c>
      <c r="AA201" s="12"/>
    </row>
    <row r="202" spans="1:27" ht="17.100000000000001" customHeight="1" x14ac:dyDescent="0.45">
      <c r="A202" s="5">
        <v>200</v>
      </c>
      <c r="B202" s="7">
        <v>118195</v>
      </c>
      <c r="C202" s="2" t="s">
        <v>180</v>
      </c>
      <c r="D202" s="36" t="s">
        <v>176</v>
      </c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9"/>
      <c r="V202" s="9"/>
      <c r="W202" s="9"/>
      <c r="X202" s="12">
        <v>1</v>
      </c>
      <c r="Y202" s="1"/>
      <c r="Z202" s="25"/>
      <c r="AA202" s="12"/>
    </row>
    <row r="203" spans="1:27" ht="17.100000000000001" customHeight="1" x14ac:dyDescent="0.45">
      <c r="A203" s="5">
        <v>201</v>
      </c>
      <c r="B203" s="7">
        <v>118200</v>
      </c>
      <c r="C203" s="2" t="s">
        <v>487</v>
      </c>
      <c r="D203" s="36" t="s">
        <v>176</v>
      </c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9">
        <v>0.75</v>
      </c>
      <c r="V203" s="9"/>
      <c r="W203" s="9"/>
      <c r="X203" s="5">
        <v>1</v>
      </c>
      <c r="Y203" s="1">
        <v>1</v>
      </c>
      <c r="Z203" s="25">
        <v>46</v>
      </c>
      <c r="AA203" s="25"/>
    </row>
    <row r="204" spans="1:27" ht="17.100000000000001" customHeight="1" x14ac:dyDescent="0.45">
      <c r="A204" s="5">
        <v>202</v>
      </c>
      <c r="B204" s="7">
        <v>118211</v>
      </c>
      <c r="C204" s="2" t="s">
        <v>489</v>
      </c>
      <c r="D204" s="36" t="s">
        <v>176</v>
      </c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9"/>
      <c r="V204" s="9"/>
      <c r="W204" s="9"/>
      <c r="X204" s="12">
        <v>2</v>
      </c>
      <c r="Y204" s="1"/>
      <c r="Z204" s="25"/>
      <c r="AA204" s="25"/>
    </row>
    <row r="205" spans="1:27" ht="17.100000000000001" customHeight="1" x14ac:dyDescent="0.45">
      <c r="A205" s="5">
        <v>203</v>
      </c>
      <c r="B205" s="7">
        <v>118220</v>
      </c>
      <c r="C205" s="2" t="s">
        <v>491</v>
      </c>
      <c r="D205" s="36" t="s">
        <v>176</v>
      </c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9">
        <v>0.83333333333333337</v>
      </c>
      <c r="V205" s="9"/>
      <c r="W205" s="9"/>
      <c r="X205" s="5">
        <v>3</v>
      </c>
      <c r="Y205" s="1">
        <v>5</v>
      </c>
      <c r="Z205" s="25">
        <v>84.6</v>
      </c>
      <c r="AA205" s="25"/>
    </row>
    <row r="206" spans="1:27" ht="17.100000000000001" customHeight="1" x14ac:dyDescent="0.45">
      <c r="A206" s="5">
        <v>204</v>
      </c>
      <c r="B206" s="7" t="s">
        <v>495</v>
      </c>
      <c r="C206" s="2" t="s">
        <v>494</v>
      </c>
      <c r="D206" s="36" t="s">
        <v>176</v>
      </c>
      <c r="E206" s="36"/>
      <c r="F206" s="36"/>
      <c r="G206" s="36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9">
        <v>0.25</v>
      </c>
      <c r="V206" s="9"/>
      <c r="W206" s="9"/>
      <c r="X206" s="5">
        <v>1</v>
      </c>
      <c r="Y206" s="1">
        <v>2</v>
      </c>
      <c r="Z206" s="25">
        <v>45.1</v>
      </c>
      <c r="AA206" s="12"/>
    </row>
    <row r="207" spans="1:27" ht="17.100000000000001" customHeight="1" x14ac:dyDescent="0.45">
      <c r="A207" s="5">
        <v>205</v>
      </c>
      <c r="B207" s="7">
        <v>118405</v>
      </c>
      <c r="C207" s="2" t="s">
        <v>341</v>
      </c>
      <c r="D207" s="36" t="s">
        <v>176</v>
      </c>
      <c r="E207" s="36"/>
      <c r="F207" s="36"/>
      <c r="G207" s="36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9">
        <v>0.25</v>
      </c>
      <c r="V207" s="9"/>
      <c r="W207" s="9"/>
      <c r="X207" s="12">
        <v>1</v>
      </c>
      <c r="Y207" s="1"/>
      <c r="Z207" s="25"/>
      <c r="AA207" s="12"/>
    </row>
    <row r="208" spans="1:27" ht="17.100000000000001" customHeight="1" x14ac:dyDescent="0.45">
      <c r="A208" s="5">
        <v>206</v>
      </c>
      <c r="B208" s="7">
        <v>118403</v>
      </c>
      <c r="C208" s="2" t="s">
        <v>343</v>
      </c>
      <c r="D208" s="36" t="s">
        <v>176</v>
      </c>
      <c r="E208" s="36"/>
      <c r="F208" s="36"/>
      <c r="G208" s="36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9">
        <v>0.25</v>
      </c>
      <c r="V208" s="9"/>
      <c r="W208" s="9"/>
      <c r="X208" s="5">
        <v>1</v>
      </c>
      <c r="Y208" s="1"/>
      <c r="Z208" s="25"/>
      <c r="AA208" s="12"/>
    </row>
    <row r="209" spans="1:27" ht="17.100000000000001" customHeight="1" x14ac:dyDescent="0.45">
      <c r="A209" s="5">
        <v>207</v>
      </c>
      <c r="B209" s="7">
        <v>118406</v>
      </c>
      <c r="C209" s="2" t="s">
        <v>407</v>
      </c>
      <c r="D209" s="36" t="s">
        <v>176</v>
      </c>
      <c r="E209" s="36"/>
      <c r="F209" s="36"/>
      <c r="G209" s="36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9">
        <v>0.25</v>
      </c>
      <c r="V209" s="9"/>
      <c r="W209" s="9"/>
      <c r="X209" s="12">
        <v>1</v>
      </c>
      <c r="Y209" s="1"/>
      <c r="Z209" s="25"/>
      <c r="AA209" s="12"/>
    </row>
    <row r="210" spans="1:27" ht="17.100000000000001" customHeight="1" x14ac:dyDescent="0.45">
      <c r="A210" s="5">
        <v>208</v>
      </c>
      <c r="B210" s="7">
        <v>118404</v>
      </c>
      <c r="C210" s="2" t="s">
        <v>408</v>
      </c>
      <c r="D210" s="36" t="s">
        <v>176</v>
      </c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9">
        <v>0.25</v>
      </c>
      <c r="V210" s="9"/>
      <c r="W210" s="9"/>
      <c r="X210" s="12">
        <v>1</v>
      </c>
      <c r="Y210" s="1"/>
      <c r="Z210" s="25"/>
      <c r="AA210" s="12"/>
    </row>
    <row r="211" spans="1:27" ht="17.100000000000001" customHeight="1" x14ac:dyDescent="0.45">
      <c r="A211" s="5">
        <v>209</v>
      </c>
      <c r="B211" s="7">
        <v>118401</v>
      </c>
      <c r="C211" s="2" t="s">
        <v>497</v>
      </c>
      <c r="D211" s="36" t="s">
        <v>176</v>
      </c>
      <c r="E211" s="36"/>
      <c r="F211" s="36"/>
      <c r="G211" s="36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9">
        <v>0.25</v>
      </c>
      <c r="V211" s="9"/>
      <c r="W211" s="9"/>
      <c r="X211" s="5">
        <v>1</v>
      </c>
      <c r="Y211" s="1"/>
      <c r="Z211" s="25"/>
      <c r="AA211" s="12"/>
    </row>
    <row r="212" spans="1:27" ht="17.100000000000001" customHeight="1" x14ac:dyDescent="0.45">
      <c r="A212" s="5">
        <v>210</v>
      </c>
      <c r="B212" s="7">
        <v>118402</v>
      </c>
      <c r="C212" s="2" t="s">
        <v>499</v>
      </c>
      <c r="D212" s="36" t="s">
        <v>176</v>
      </c>
      <c r="E212" s="36"/>
      <c r="F212" s="36"/>
      <c r="G212" s="36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9">
        <v>0.25</v>
      </c>
      <c r="V212" s="9"/>
      <c r="W212" s="9"/>
      <c r="X212" s="12">
        <v>1</v>
      </c>
      <c r="Y212" s="1"/>
      <c r="Z212" s="25"/>
      <c r="AA212" s="12"/>
    </row>
    <row r="213" spans="1:27" ht="18" x14ac:dyDescent="0.45">
      <c r="A213" s="5">
        <v>211</v>
      </c>
      <c r="B213" s="7">
        <v>118471</v>
      </c>
      <c r="C213" s="2" t="s">
        <v>414</v>
      </c>
      <c r="D213" s="36" t="s">
        <v>176</v>
      </c>
      <c r="E213" s="36"/>
      <c r="F213" s="36"/>
      <c r="G213" s="36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9"/>
      <c r="V213" s="9"/>
      <c r="W213" s="9"/>
      <c r="X213" s="17"/>
      <c r="Y213" s="1"/>
      <c r="Z213" s="25"/>
      <c r="AA213" s="17"/>
    </row>
    <row r="214" spans="1:27" ht="17.100000000000001" customHeight="1" x14ac:dyDescent="0.45">
      <c r="A214" s="5">
        <v>212</v>
      </c>
      <c r="B214" s="7">
        <v>118431</v>
      </c>
      <c r="C214" s="2" t="s">
        <v>501</v>
      </c>
      <c r="D214" s="36" t="s">
        <v>176</v>
      </c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9"/>
      <c r="V214" s="9"/>
      <c r="W214" s="9"/>
      <c r="X214" s="12">
        <v>1</v>
      </c>
      <c r="Y214" s="1"/>
      <c r="Z214" s="25"/>
      <c r="AA214" s="12"/>
    </row>
    <row r="215" spans="1:27" ht="18" x14ac:dyDescent="0.45">
      <c r="A215" s="5">
        <v>213</v>
      </c>
      <c r="B215" s="7">
        <v>118441</v>
      </c>
      <c r="C215" s="2" t="s">
        <v>435</v>
      </c>
      <c r="D215" s="36" t="s">
        <v>176</v>
      </c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9"/>
      <c r="V215" s="9"/>
      <c r="W215" s="9"/>
      <c r="X215" s="12"/>
      <c r="Y215" s="1"/>
      <c r="Z215" s="25">
        <v>17</v>
      </c>
      <c r="AA215" s="12"/>
    </row>
    <row r="216" spans="1:27" ht="18" x14ac:dyDescent="0.45">
      <c r="A216" s="5">
        <v>214</v>
      </c>
      <c r="B216" s="7">
        <v>118621</v>
      </c>
      <c r="C216" s="2" t="s">
        <v>504</v>
      </c>
      <c r="D216" s="36" t="s">
        <v>176</v>
      </c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9"/>
      <c r="V216" s="9"/>
      <c r="W216" s="9"/>
      <c r="X216" s="12"/>
      <c r="Y216" s="1"/>
      <c r="Z216" s="25"/>
      <c r="AA216" s="12"/>
    </row>
    <row r="217" spans="1:27" ht="18" x14ac:dyDescent="0.45">
      <c r="A217" s="5">
        <v>215</v>
      </c>
      <c r="B217" s="7">
        <v>118611</v>
      </c>
      <c r="C217" s="2" t="s">
        <v>506</v>
      </c>
      <c r="D217" s="36" t="s">
        <v>176</v>
      </c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9"/>
      <c r="V217" s="9"/>
      <c r="W217" s="9"/>
      <c r="X217" s="12"/>
      <c r="Y217" s="1"/>
      <c r="Z217" s="25"/>
      <c r="AA217" s="12"/>
    </row>
    <row r="218" spans="1:27" ht="18" x14ac:dyDescent="0.45">
      <c r="A218" s="5">
        <v>216</v>
      </c>
      <c r="B218" s="7">
        <v>118661</v>
      </c>
      <c r="C218" s="2" t="s">
        <v>508</v>
      </c>
      <c r="D218" s="36" t="s">
        <v>176</v>
      </c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9"/>
      <c r="V218" s="9"/>
      <c r="W218" s="9"/>
      <c r="X218" s="17"/>
      <c r="Y218" s="1"/>
      <c r="Z218" s="25"/>
      <c r="AA218" s="17"/>
    </row>
    <row r="219" spans="1:27" ht="18" x14ac:dyDescent="0.2">
      <c r="A219" s="5">
        <v>217</v>
      </c>
      <c r="B219" s="7">
        <v>118791</v>
      </c>
      <c r="C219" s="22" t="s">
        <v>14</v>
      </c>
      <c r="D219" s="36" t="s">
        <v>176</v>
      </c>
      <c r="E219" s="36"/>
      <c r="F219" s="36"/>
      <c r="G219" s="36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9">
        <v>4.1666666666666664E-2</v>
      </c>
      <c r="V219" s="9"/>
      <c r="W219" s="9"/>
      <c r="X219" s="48">
        <v>1</v>
      </c>
      <c r="Y219" s="1">
        <v>1</v>
      </c>
      <c r="Z219" s="25">
        <v>3.7</v>
      </c>
      <c r="AA219" s="16"/>
    </row>
    <row r="220" spans="1:27" ht="17.100000000000001" customHeight="1" x14ac:dyDescent="0.45">
      <c r="A220" s="5">
        <v>218</v>
      </c>
      <c r="B220" s="7">
        <v>118177</v>
      </c>
      <c r="C220" s="2" t="s">
        <v>510</v>
      </c>
      <c r="D220" s="36" t="s">
        <v>176</v>
      </c>
      <c r="E220" s="36"/>
      <c r="F220" s="36"/>
      <c r="G220" s="36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9"/>
      <c r="V220" s="9"/>
      <c r="W220" s="9"/>
      <c r="X220" s="12">
        <v>2</v>
      </c>
      <c r="Y220" s="1">
        <v>4</v>
      </c>
      <c r="Z220" s="25"/>
      <c r="AA220" s="12"/>
    </row>
    <row r="221" spans="1:27" ht="18" x14ac:dyDescent="0.45">
      <c r="A221" s="5">
        <v>219</v>
      </c>
      <c r="B221" s="7">
        <v>118711</v>
      </c>
      <c r="C221" s="2" t="s">
        <v>482</v>
      </c>
      <c r="D221" s="36" t="s">
        <v>176</v>
      </c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9">
        <v>5.2083333333333336E-2</v>
      </c>
      <c r="V221" s="9"/>
      <c r="W221" s="9"/>
      <c r="X221" s="12"/>
      <c r="Y221" s="1"/>
      <c r="Z221" s="25"/>
      <c r="AA221" s="12"/>
    </row>
    <row r="222" spans="1:27" ht="18" x14ac:dyDescent="0.45">
      <c r="A222" s="5">
        <v>220</v>
      </c>
      <c r="B222" s="7">
        <v>118715</v>
      </c>
      <c r="C222" s="2" t="s">
        <v>483</v>
      </c>
      <c r="D222" s="36" t="s">
        <v>176</v>
      </c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9">
        <v>5.2083333333333336E-2</v>
      </c>
      <c r="V222" s="9"/>
      <c r="W222" s="9"/>
      <c r="X222" s="12"/>
      <c r="Y222" s="1"/>
      <c r="Z222" s="25"/>
      <c r="AA222" s="12"/>
    </row>
    <row r="223" spans="1:27" ht="17.100000000000001" customHeight="1" x14ac:dyDescent="0.45">
      <c r="A223" s="5">
        <v>221</v>
      </c>
      <c r="B223" s="7" t="s">
        <v>496</v>
      </c>
      <c r="C223" s="2" t="s">
        <v>341</v>
      </c>
      <c r="D223" s="36" t="s">
        <v>175</v>
      </c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9">
        <v>0.25</v>
      </c>
      <c r="V223" s="9"/>
      <c r="W223" s="9"/>
      <c r="X223" s="12">
        <v>1</v>
      </c>
      <c r="Y223" s="1"/>
      <c r="Z223" s="25">
        <v>32</v>
      </c>
      <c r="AA223" s="12"/>
    </row>
    <row r="224" spans="1:27" ht="17.100000000000001" customHeight="1" x14ac:dyDescent="0.45">
      <c r="A224" s="5">
        <v>222</v>
      </c>
      <c r="B224" s="7">
        <v>116403</v>
      </c>
      <c r="C224" s="2" t="s">
        <v>343</v>
      </c>
      <c r="D224" s="36" t="s">
        <v>175</v>
      </c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9">
        <v>0.25</v>
      </c>
      <c r="V224" s="9"/>
      <c r="W224" s="9"/>
      <c r="X224" s="5">
        <v>1</v>
      </c>
      <c r="Y224" s="1"/>
      <c r="Z224" s="25"/>
      <c r="AA224" s="12"/>
    </row>
    <row r="225" spans="1:27" ht="17.100000000000001" customHeight="1" x14ac:dyDescent="0.45">
      <c r="A225" s="5">
        <v>223</v>
      </c>
      <c r="B225" s="7">
        <v>116406</v>
      </c>
      <c r="C225" s="2" t="s">
        <v>407</v>
      </c>
      <c r="D225" s="36" t="s">
        <v>175</v>
      </c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9">
        <v>0.25</v>
      </c>
      <c r="V225" s="9"/>
      <c r="W225" s="9"/>
      <c r="X225" s="12">
        <v>1</v>
      </c>
      <c r="Y225" s="1"/>
      <c r="Z225" s="25"/>
      <c r="AA225" s="12"/>
    </row>
    <row r="226" spans="1:27" ht="17.100000000000001" customHeight="1" x14ac:dyDescent="0.45">
      <c r="A226" s="5">
        <v>224</v>
      </c>
      <c r="B226" s="7">
        <v>116404</v>
      </c>
      <c r="C226" s="2" t="s">
        <v>408</v>
      </c>
      <c r="D226" s="36" t="s">
        <v>175</v>
      </c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9">
        <v>0.25</v>
      </c>
      <c r="V226" s="9"/>
      <c r="W226" s="9"/>
      <c r="X226" s="12">
        <v>1</v>
      </c>
      <c r="Y226" s="1">
        <v>7</v>
      </c>
      <c r="Z226" s="25">
        <v>31</v>
      </c>
      <c r="AA226" s="12"/>
    </row>
    <row r="227" spans="1:27" ht="17.100000000000001" customHeight="1" x14ac:dyDescent="0.45">
      <c r="A227" s="5">
        <v>225</v>
      </c>
      <c r="B227" s="7" t="s">
        <v>498</v>
      </c>
      <c r="C227" s="2" t="s">
        <v>497</v>
      </c>
      <c r="D227" s="36" t="s">
        <v>175</v>
      </c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9">
        <v>0.25</v>
      </c>
      <c r="V227" s="9"/>
      <c r="W227" s="9"/>
      <c r="X227" s="5">
        <v>1</v>
      </c>
      <c r="Y227" s="1">
        <v>7</v>
      </c>
      <c r="Z227" s="25">
        <v>29.7</v>
      </c>
      <c r="AA227" s="12"/>
    </row>
    <row r="228" spans="1:27" ht="17.100000000000001" customHeight="1" x14ac:dyDescent="0.45">
      <c r="A228" s="5">
        <v>226</v>
      </c>
      <c r="B228" s="7">
        <v>116402</v>
      </c>
      <c r="C228" s="2" t="s">
        <v>499</v>
      </c>
      <c r="D228" s="36" t="s">
        <v>175</v>
      </c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9">
        <v>0.25</v>
      </c>
      <c r="V228" s="9"/>
      <c r="W228" s="9"/>
      <c r="X228" s="12">
        <v>1</v>
      </c>
      <c r="Y228" s="1"/>
      <c r="Z228" s="25"/>
      <c r="AA228" s="12"/>
    </row>
    <row r="229" spans="1:27" ht="18" x14ac:dyDescent="0.45">
      <c r="A229" s="5">
        <v>227</v>
      </c>
      <c r="B229" s="7" t="s">
        <v>500</v>
      </c>
      <c r="C229" s="2" t="s">
        <v>414</v>
      </c>
      <c r="D229" s="36" t="s">
        <v>175</v>
      </c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9"/>
      <c r="V229" s="9"/>
      <c r="W229" s="9"/>
      <c r="X229" s="17"/>
      <c r="Y229" s="1"/>
      <c r="Z229" s="25"/>
      <c r="AA229" s="17"/>
    </row>
    <row r="230" spans="1:27" ht="17.100000000000001" customHeight="1" x14ac:dyDescent="0.45">
      <c r="A230" s="5">
        <v>228</v>
      </c>
      <c r="B230" s="7" t="s">
        <v>502</v>
      </c>
      <c r="C230" s="2" t="s">
        <v>501</v>
      </c>
      <c r="D230" s="36" t="s">
        <v>175</v>
      </c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9"/>
      <c r="V230" s="9"/>
      <c r="W230" s="9"/>
      <c r="X230" s="12">
        <v>1</v>
      </c>
      <c r="Y230" s="1"/>
      <c r="Z230" s="25"/>
      <c r="AA230" s="12"/>
    </row>
    <row r="231" spans="1:27" ht="18" x14ac:dyDescent="0.45">
      <c r="A231" s="5">
        <v>229</v>
      </c>
      <c r="B231" s="7" t="s">
        <v>503</v>
      </c>
      <c r="C231" s="2" t="s">
        <v>1031</v>
      </c>
      <c r="D231" s="36" t="s">
        <v>175</v>
      </c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9">
        <v>2.0833333333333332E-2</v>
      </c>
      <c r="V231" s="9"/>
      <c r="W231" s="9"/>
      <c r="X231" s="12">
        <v>1</v>
      </c>
      <c r="Y231" s="1">
        <v>1</v>
      </c>
      <c r="Z231" s="25">
        <v>17</v>
      </c>
      <c r="AA231" s="12"/>
    </row>
    <row r="232" spans="1:27" ht="18" x14ac:dyDescent="0.45">
      <c r="A232" s="5">
        <v>230</v>
      </c>
      <c r="B232" s="7" t="s">
        <v>505</v>
      </c>
      <c r="C232" s="2" t="s">
        <v>504</v>
      </c>
      <c r="D232" s="36" t="s">
        <v>175</v>
      </c>
      <c r="E232" s="36"/>
      <c r="F232" s="36"/>
      <c r="G232" s="36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9"/>
      <c r="V232" s="9"/>
      <c r="W232" s="9"/>
      <c r="X232" s="12"/>
      <c r="Y232" s="1"/>
      <c r="Z232" s="25"/>
      <c r="AA232" s="12"/>
    </row>
    <row r="233" spans="1:27" ht="18" x14ac:dyDescent="0.45">
      <c r="A233" s="5">
        <v>231</v>
      </c>
      <c r="B233" s="7" t="s">
        <v>507</v>
      </c>
      <c r="C233" s="2" t="s">
        <v>506</v>
      </c>
      <c r="D233" s="36" t="s">
        <v>175</v>
      </c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9">
        <v>0.29166666666666669</v>
      </c>
      <c r="V233" s="9"/>
      <c r="W233" s="9"/>
      <c r="X233" s="12">
        <v>1</v>
      </c>
      <c r="Y233" s="1">
        <v>3</v>
      </c>
      <c r="Z233" s="25">
        <v>20.3</v>
      </c>
      <c r="AA233" s="12"/>
    </row>
    <row r="234" spans="1:27" ht="18" x14ac:dyDescent="0.45">
      <c r="A234" s="5">
        <v>232</v>
      </c>
      <c r="B234" s="7" t="s">
        <v>509</v>
      </c>
      <c r="C234" s="2" t="s">
        <v>508</v>
      </c>
      <c r="D234" s="36" t="s">
        <v>175</v>
      </c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9">
        <v>0.83333333333333337</v>
      </c>
      <c r="V234" s="9"/>
      <c r="W234" s="9"/>
      <c r="X234" s="17">
        <v>1</v>
      </c>
      <c r="Y234" s="1">
        <v>3</v>
      </c>
      <c r="Z234" s="25">
        <v>49</v>
      </c>
      <c r="AA234" s="17"/>
    </row>
    <row r="235" spans="1:27" ht="18" x14ac:dyDescent="0.2">
      <c r="A235" s="5">
        <v>233</v>
      </c>
      <c r="B235" s="7">
        <v>116791</v>
      </c>
      <c r="C235" s="22" t="s">
        <v>14</v>
      </c>
      <c r="D235" s="36" t="s">
        <v>175</v>
      </c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9">
        <v>4.1666666666666664E-2</v>
      </c>
      <c r="V235" s="9"/>
      <c r="W235" s="9"/>
      <c r="X235" s="16">
        <v>1</v>
      </c>
      <c r="Y235" s="1">
        <v>1</v>
      </c>
      <c r="Z235" s="25">
        <v>3.6</v>
      </c>
      <c r="AA235" s="16"/>
    </row>
    <row r="236" spans="1:27" ht="17.100000000000001" customHeight="1" x14ac:dyDescent="0.45">
      <c r="A236" s="5">
        <v>234</v>
      </c>
      <c r="B236" s="7" t="s">
        <v>511</v>
      </c>
      <c r="C236" s="2" t="s">
        <v>510</v>
      </c>
      <c r="D236" s="36" t="s">
        <v>175</v>
      </c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9"/>
      <c r="V236" s="9"/>
      <c r="W236" s="9"/>
      <c r="X236" s="12">
        <v>2</v>
      </c>
      <c r="Y236" s="1">
        <v>4</v>
      </c>
      <c r="Z236" s="25"/>
      <c r="AA236" s="12"/>
    </row>
    <row r="237" spans="1:27" ht="18" x14ac:dyDescent="0.45">
      <c r="A237" s="5">
        <v>235</v>
      </c>
      <c r="B237" s="7">
        <v>116711</v>
      </c>
      <c r="C237" s="2" t="s">
        <v>482</v>
      </c>
      <c r="D237" s="36" t="s">
        <v>175</v>
      </c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9"/>
      <c r="V237" s="9"/>
      <c r="W237" s="9"/>
      <c r="X237" s="12"/>
      <c r="Y237" s="1"/>
      <c r="Z237" s="25"/>
      <c r="AA237" s="12"/>
    </row>
    <row r="238" spans="1:27" ht="18" x14ac:dyDescent="0.45">
      <c r="A238" s="5">
        <v>236</v>
      </c>
      <c r="B238" s="7">
        <v>116715</v>
      </c>
      <c r="C238" s="2" t="s">
        <v>483</v>
      </c>
      <c r="D238" s="36" t="s">
        <v>175</v>
      </c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9"/>
      <c r="V238" s="9"/>
      <c r="W238" s="9"/>
      <c r="X238" s="12"/>
      <c r="Y238" s="1"/>
      <c r="Z238" s="25"/>
      <c r="AA238" s="12"/>
    </row>
    <row r="239" spans="1:27" ht="34.15" customHeight="1" x14ac:dyDescent="0.45">
      <c r="A239" s="5">
        <v>237</v>
      </c>
      <c r="B239" s="7" t="s">
        <v>513</v>
      </c>
      <c r="C239" s="13" t="s">
        <v>512</v>
      </c>
      <c r="D239" s="36" t="s">
        <v>62</v>
      </c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9">
        <v>0.33333333333333331</v>
      </c>
      <c r="V239" s="9"/>
      <c r="W239" s="9"/>
      <c r="X239" s="15">
        <v>3</v>
      </c>
      <c r="Y239" s="1">
        <v>4</v>
      </c>
      <c r="Z239" s="25">
        <v>25.3</v>
      </c>
      <c r="AA239" s="16"/>
    </row>
    <row r="240" spans="1:27" ht="17.100000000000001" customHeight="1" x14ac:dyDescent="0.45">
      <c r="A240" s="5">
        <v>238</v>
      </c>
      <c r="B240" s="7" t="s">
        <v>514</v>
      </c>
      <c r="C240" s="2" t="s">
        <v>16</v>
      </c>
      <c r="D240" s="36" t="s">
        <v>62</v>
      </c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9"/>
      <c r="V240" s="9"/>
      <c r="W240" s="9"/>
      <c r="X240" s="5">
        <v>1</v>
      </c>
      <c r="Y240" s="1"/>
      <c r="Z240" s="25"/>
      <c r="AA240" s="12"/>
    </row>
    <row r="241" spans="1:27" ht="18" x14ac:dyDescent="0.45">
      <c r="A241" s="5">
        <v>239</v>
      </c>
      <c r="B241" s="7" t="s">
        <v>516</v>
      </c>
      <c r="C241" s="2" t="s">
        <v>515</v>
      </c>
      <c r="D241" s="36" t="s">
        <v>62</v>
      </c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9"/>
      <c r="V241" s="9"/>
      <c r="W241" s="9"/>
      <c r="X241" s="12"/>
      <c r="Y241" s="1"/>
      <c r="Z241" s="25"/>
      <c r="AA241" s="12"/>
    </row>
    <row r="242" spans="1:27" ht="17.100000000000001" customHeight="1" x14ac:dyDescent="0.45">
      <c r="A242" s="5">
        <v>240</v>
      </c>
      <c r="B242" s="7" t="s">
        <v>517</v>
      </c>
      <c r="C242" s="2" t="s">
        <v>23</v>
      </c>
      <c r="D242" s="36" t="s">
        <v>62</v>
      </c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9"/>
      <c r="V242" s="9"/>
      <c r="W242" s="9"/>
      <c r="X242" s="5">
        <v>1</v>
      </c>
      <c r="Y242" s="1">
        <v>1</v>
      </c>
      <c r="Z242" s="25"/>
      <c r="AA242" s="25"/>
    </row>
    <row r="243" spans="1:27" ht="17.100000000000001" customHeight="1" x14ac:dyDescent="0.45">
      <c r="A243" s="5">
        <v>241</v>
      </c>
      <c r="B243" s="7">
        <v>106211</v>
      </c>
      <c r="C243" s="23" t="s">
        <v>518</v>
      </c>
      <c r="D243" s="36" t="s">
        <v>62</v>
      </c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9"/>
      <c r="V243" s="9"/>
      <c r="W243" s="9"/>
      <c r="X243" s="12">
        <v>2</v>
      </c>
      <c r="Y243" s="1"/>
      <c r="Z243" s="25"/>
      <c r="AA243" s="25"/>
    </row>
    <row r="244" spans="1:27" ht="17.100000000000001" customHeight="1" x14ac:dyDescent="0.45">
      <c r="A244" s="5">
        <v>242</v>
      </c>
      <c r="B244" s="7">
        <v>106213</v>
      </c>
      <c r="C244" s="23" t="s">
        <v>519</v>
      </c>
      <c r="D244" s="36" t="s">
        <v>62</v>
      </c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9"/>
      <c r="V244" s="9"/>
      <c r="W244" s="9"/>
      <c r="X244" s="12">
        <v>2</v>
      </c>
      <c r="Y244" s="1"/>
      <c r="Z244" s="25"/>
      <c r="AA244" s="25"/>
    </row>
    <row r="245" spans="1:27" ht="17.100000000000001" customHeight="1" x14ac:dyDescent="0.45">
      <c r="A245" s="5">
        <v>243</v>
      </c>
      <c r="B245" s="7" t="s">
        <v>521</v>
      </c>
      <c r="C245" s="24" t="s">
        <v>520</v>
      </c>
      <c r="D245" s="36" t="s">
        <v>62</v>
      </c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9"/>
      <c r="V245" s="9"/>
      <c r="W245" s="9"/>
      <c r="X245" s="5">
        <v>3</v>
      </c>
      <c r="Y245" s="1">
        <v>5</v>
      </c>
      <c r="Z245" s="25"/>
      <c r="AA245" s="25"/>
    </row>
    <row r="246" spans="1:27" ht="17.100000000000001" customHeight="1" x14ac:dyDescent="0.45">
      <c r="A246" s="5">
        <v>244</v>
      </c>
      <c r="B246" s="7" t="s">
        <v>522</v>
      </c>
      <c r="C246" s="2" t="s">
        <v>3</v>
      </c>
      <c r="D246" s="36" t="s">
        <v>62</v>
      </c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9">
        <v>0.20833333333333334</v>
      </c>
      <c r="V246" s="9"/>
      <c r="W246" s="9"/>
      <c r="X246" s="5">
        <v>1</v>
      </c>
      <c r="Y246" s="1">
        <v>2</v>
      </c>
      <c r="Z246" s="25">
        <v>37.200000000000003</v>
      </c>
      <c r="AA246" s="12"/>
    </row>
    <row r="247" spans="1:27" ht="18" x14ac:dyDescent="0.45">
      <c r="A247" s="5">
        <v>245</v>
      </c>
      <c r="B247" s="7">
        <v>106701</v>
      </c>
      <c r="C247" s="2" t="s">
        <v>523</v>
      </c>
      <c r="D247" s="36" t="s">
        <v>62</v>
      </c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9"/>
      <c r="V247" s="9"/>
      <c r="W247" s="9"/>
      <c r="X247" s="12"/>
      <c r="Y247" s="1"/>
      <c r="Z247" s="25"/>
      <c r="AA247" s="12"/>
    </row>
    <row r="248" spans="1:27" ht="18" x14ac:dyDescent="0.45">
      <c r="A248" s="5">
        <v>246</v>
      </c>
      <c r="B248" s="7">
        <v>106705</v>
      </c>
      <c r="C248" s="2" t="s">
        <v>524</v>
      </c>
      <c r="D248" s="36" t="s">
        <v>62</v>
      </c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9"/>
      <c r="V248" s="9"/>
      <c r="W248" s="9"/>
      <c r="X248" s="12"/>
      <c r="Y248" s="1"/>
      <c r="Z248" s="25"/>
      <c r="AA248" s="12"/>
    </row>
    <row r="249" spans="1:27" ht="18" x14ac:dyDescent="0.45">
      <c r="A249" s="5">
        <v>247</v>
      </c>
      <c r="B249" s="7">
        <v>106711</v>
      </c>
      <c r="C249" s="2" t="s">
        <v>525</v>
      </c>
      <c r="D249" s="36" t="s">
        <v>62</v>
      </c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9"/>
      <c r="V249" s="9"/>
      <c r="W249" s="9"/>
      <c r="X249" s="12"/>
      <c r="Y249" s="1"/>
      <c r="Z249" s="25"/>
      <c r="AA249" s="12"/>
    </row>
    <row r="250" spans="1:27" ht="18" x14ac:dyDescent="0.45">
      <c r="A250" s="5">
        <v>248</v>
      </c>
      <c r="B250" s="7">
        <v>106715</v>
      </c>
      <c r="C250" s="2" t="s">
        <v>526</v>
      </c>
      <c r="D250" s="36" t="s">
        <v>62</v>
      </c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9"/>
      <c r="V250" s="9"/>
      <c r="W250" s="9"/>
      <c r="X250" s="12"/>
      <c r="Y250" s="1"/>
      <c r="Z250" s="25"/>
      <c r="AA250" s="12"/>
    </row>
    <row r="251" spans="1:27" ht="17.100000000000001" customHeight="1" x14ac:dyDescent="0.45">
      <c r="A251" s="5">
        <v>249</v>
      </c>
      <c r="B251" s="7" t="s">
        <v>527</v>
      </c>
      <c r="C251" s="2" t="s">
        <v>341</v>
      </c>
      <c r="D251" s="36" t="s">
        <v>62</v>
      </c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9"/>
      <c r="V251" s="9"/>
      <c r="W251" s="9"/>
      <c r="X251" s="12">
        <v>1</v>
      </c>
      <c r="Y251" s="1"/>
      <c r="Z251" s="25"/>
      <c r="AA251" s="12"/>
    </row>
    <row r="252" spans="1:27" ht="17.100000000000001" customHeight="1" x14ac:dyDescent="0.45">
      <c r="A252" s="5">
        <v>250</v>
      </c>
      <c r="B252" s="7">
        <v>106403</v>
      </c>
      <c r="C252" s="2" t="s">
        <v>343</v>
      </c>
      <c r="D252" s="36" t="s">
        <v>62</v>
      </c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9"/>
      <c r="V252" s="9"/>
      <c r="W252" s="9"/>
      <c r="X252" s="5">
        <v>1</v>
      </c>
      <c r="Y252" s="1"/>
      <c r="Z252" s="25"/>
      <c r="AA252" s="12"/>
    </row>
    <row r="253" spans="1:27" ht="17.100000000000001" customHeight="1" x14ac:dyDescent="0.45">
      <c r="A253" s="5">
        <v>251</v>
      </c>
      <c r="B253" s="7">
        <v>106401</v>
      </c>
      <c r="C253" s="2" t="s">
        <v>344</v>
      </c>
      <c r="D253" s="36" t="s">
        <v>62</v>
      </c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9"/>
      <c r="V253" s="9"/>
      <c r="W253" s="9"/>
      <c r="X253" s="5">
        <v>1</v>
      </c>
      <c r="Y253" s="1"/>
      <c r="Z253" s="25"/>
      <c r="AA253" s="12"/>
    </row>
    <row r="254" spans="1:27" ht="17.100000000000001" customHeight="1" x14ac:dyDescent="0.45">
      <c r="A254" s="5">
        <v>252</v>
      </c>
      <c r="B254" s="7" t="s">
        <v>529</v>
      </c>
      <c r="C254" s="2" t="s">
        <v>528</v>
      </c>
      <c r="D254" s="36" t="s">
        <v>75</v>
      </c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9">
        <v>0.20833333333333334</v>
      </c>
      <c r="V254" s="9"/>
      <c r="W254" s="9"/>
      <c r="X254" s="25">
        <v>3</v>
      </c>
      <c r="Y254" s="1"/>
      <c r="Z254" s="25">
        <v>10.4</v>
      </c>
      <c r="AA254" s="12"/>
    </row>
    <row r="255" spans="1:27" ht="18" x14ac:dyDescent="0.45">
      <c r="A255" s="5">
        <v>253</v>
      </c>
      <c r="B255" s="7" t="s">
        <v>531</v>
      </c>
      <c r="C255" s="2" t="s">
        <v>530</v>
      </c>
      <c r="D255" s="36" t="s">
        <v>75</v>
      </c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9"/>
      <c r="V255" s="9"/>
      <c r="W255" s="9"/>
      <c r="X255" s="12"/>
      <c r="Y255" s="1"/>
      <c r="Z255" s="25"/>
      <c r="AA255" s="25"/>
    </row>
    <row r="256" spans="1:27" ht="17.100000000000001" customHeight="1" x14ac:dyDescent="0.45">
      <c r="A256" s="5">
        <v>254</v>
      </c>
      <c r="B256" s="7" t="s">
        <v>533</v>
      </c>
      <c r="C256" s="2" t="s">
        <v>532</v>
      </c>
      <c r="D256" s="36" t="s">
        <v>75</v>
      </c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9"/>
      <c r="V256" s="9"/>
      <c r="W256" s="9"/>
      <c r="X256" s="5">
        <v>1</v>
      </c>
      <c r="Y256" s="1"/>
      <c r="Z256" s="25"/>
      <c r="AA256" s="12"/>
    </row>
    <row r="257" spans="1:27" ht="18" x14ac:dyDescent="0.45">
      <c r="A257" s="5">
        <v>255</v>
      </c>
      <c r="B257" s="7" t="s">
        <v>535</v>
      </c>
      <c r="C257" s="2" t="s">
        <v>534</v>
      </c>
      <c r="D257" s="36" t="s">
        <v>75</v>
      </c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9"/>
      <c r="V257" s="9"/>
      <c r="W257" s="9"/>
      <c r="X257" s="12"/>
      <c r="Y257" s="1"/>
      <c r="Z257" s="25"/>
      <c r="AA257" s="12"/>
    </row>
    <row r="258" spans="1:27" ht="17.100000000000001" customHeight="1" x14ac:dyDescent="0.45">
      <c r="A258" s="5">
        <v>256</v>
      </c>
      <c r="B258" s="7">
        <v>104111</v>
      </c>
      <c r="C258" s="2" t="s">
        <v>536</v>
      </c>
      <c r="D258" s="36" t="s">
        <v>75</v>
      </c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9"/>
      <c r="V258" s="9"/>
      <c r="W258" s="9"/>
      <c r="X258" s="12">
        <v>3</v>
      </c>
      <c r="Y258" s="1"/>
      <c r="Z258" s="25"/>
      <c r="AA258" s="12"/>
    </row>
    <row r="259" spans="1:27" ht="17.100000000000001" customHeight="1" x14ac:dyDescent="0.45">
      <c r="A259" s="5">
        <v>257</v>
      </c>
      <c r="B259" s="7" t="s">
        <v>538</v>
      </c>
      <c r="C259" s="2" t="s">
        <v>537</v>
      </c>
      <c r="D259" s="36" t="s">
        <v>75</v>
      </c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9"/>
      <c r="V259" s="9"/>
      <c r="W259" s="9"/>
      <c r="X259" s="5">
        <v>3</v>
      </c>
      <c r="Y259" s="1">
        <v>5</v>
      </c>
      <c r="Z259" s="25"/>
      <c r="AA259" s="25"/>
    </row>
    <row r="260" spans="1:27" ht="17.100000000000001" customHeight="1" x14ac:dyDescent="0.45">
      <c r="A260" s="5">
        <v>258</v>
      </c>
      <c r="B260" s="7" t="s">
        <v>540</v>
      </c>
      <c r="C260" s="2" t="s">
        <v>539</v>
      </c>
      <c r="D260" s="36" t="s">
        <v>75</v>
      </c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9"/>
      <c r="V260" s="9"/>
      <c r="W260" s="9"/>
      <c r="X260" s="12">
        <v>1</v>
      </c>
      <c r="Y260" s="1"/>
      <c r="Z260" s="25"/>
      <c r="AA260" s="12"/>
    </row>
    <row r="261" spans="1:27" ht="17.100000000000001" customHeight="1" x14ac:dyDescent="0.45">
      <c r="A261" s="5">
        <v>259</v>
      </c>
      <c r="B261" s="7" t="s">
        <v>542</v>
      </c>
      <c r="C261" s="2" t="s">
        <v>541</v>
      </c>
      <c r="D261" s="36" t="s">
        <v>203</v>
      </c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9"/>
      <c r="V261" s="9"/>
      <c r="W261" s="9"/>
      <c r="X261" s="12">
        <v>1</v>
      </c>
      <c r="Y261" s="1"/>
      <c r="Z261" s="25"/>
      <c r="AA261" s="12"/>
    </row>
    <row r="262" spans="1:27" ht="17.100000000000001" customHeight="1" x14ac:dyDescent="0.45">
      <c r="A262" s="5">
        <v>260</v>
      </c>
      <c r="B262" s="7" t="s">
        <v>544</v>
      </c>
      <c r="C262" s="2" t="s">
        <v>543</v>
      </c>
      <c r="D262" s="36" t="s">
        <v>75</v>
      </c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9"/>
      <c r="V262" s="9"/>
      <c r="W262" s="9"/>
      <c r="X262" s="5">
        <v>1</v>
      </c>
      <c r="Y262" s="1"/>
      <c r="Z262" s="25"/>
      <c r="AA262" s="12"/>
    </row>
    <row r="263" spans="1:27" ht="18" x14ac:dyDescent="0.45">
      <c r="A263" s="5">
        <v>261</v>
      </c>
      <c r="B263" s="7">
        <v>104701</v>
      </c>
      <c r="C263" s="2" t="s">
        <v>523</v>
      </c>
      <c r="D263" s="36" t="s">
        <v>75</v>
      </c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9"/>
      <c r="V263" s="9"/>
      <c r="W263" s="9"/>
      <c r="X263" s="5"/>
      <c r="Y263" s="1"/>
      <c r="Z263" s="25"/>
      <c r="AA263" s="12"/>
    </row>
    <row r="264" spans="1:27" ht="18" x14ac:dyDescent="0.45">
      <c r="A264" s="5">
        <v>262</v>
      </c>
      <c r="B264" s="7">
        <v>104705</v>
      </c>
      <c r="C264" s="2" t="s">
        <v>524</v>
      </c>
      <c r="D264" s="36" t="s">
        <v>75</v>
      </c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9"/>
      <c r="V264" s="9"/>
      <c r="W264" s="9"/>
      <c r="X264" s="5"/>
      <c r="Y264" s="1"/>
      <c r="Z264" s="25"/>
      <c r="AA264" s="12"/>
    </row>
    <row r="265" spans="1:27" ht="18" x14ac:dyDescent="0.45">
      <c r="A265" s="5">
        <v>263</v>
      </c>
      <c r="B265" s="7">
        <v>104711</v>
      </c>
      <c r="C265" s="2" t="s">
        <v>525</v>
      </c>
      <c r="D265" s="36" t="s">
        <v>75</v>
      </c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9"/>
      <c r="V265" s="9"/>
      <c r="W265" s="9"/>
      <c r="X265" s="5"/>
      <c r="Y265" s="1"/>
      <c r="Z265" s="25"/>
      <c r="AA265" s="12"/>
    </row>
    <row r="266" spans="1:27" ht="18" x14ac:dyDescent="0.45">
      <c r="A266" s="5">
        <v>264</v>
      </c>
      <c r="B266" s="7">
        <v>104715</v>
      </c>
      <c r="C266" s="2" t="s">
        <v>526</v>
      </c>
      <c r="D266" s="36" t="s">
        <v>75</v>
      </c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9"/>
      <c r="V266" s="9"/>
      <c r="W266" s="9"/>
      <c r="X266" s="5"/>
      <c r="Y266" s="1"/>
      <c r="Z266" s="25"/>
      <c r="AA266" s="12"/>
    </row>
    <row r="267" spans="1:27" ht="17.100000000000001" customHeight="1" x14ac:dyDescent="0.45">
      <c r="A267" s="5">
        <v>265</v>
      </c>
      <c r="B267" s="7" t="s">
        <v>545</v>
      </c>
      <c r="C267" s="2" t="s">
        <v>341</v>
      </c>
      <c r="D267" s="36" t="s">
        <v>215</v>
      </c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9">
        <v>0.25</v>
      </c>
      <c r="V267" s="9"/>
      <c r="W267" s="9"/>
      <c r="X267" s="12">
        <v>1</v>
      </c>
      <c r="Y267" s="1">
        <v>5</v>
      </c>
      <c r="Z267" s="25">
        <v>22</v>
      </c>
      <c r="AA267" s="12"/>
    </row>
    <row r="268" spans="1:27" ht="17.100000000000001" customHeight="1" x14ac:dyDescent="0.45">
      <c r="A268" s="5">
        <v>266</v>
      </c>
      <c r="B268" s="7">
        <v>167403</v>
      </c>
      <c r="C268" s="2" t="s">
        <v>343</v>
      </c>
      <c r="D268" s="36" t="s">
        <v>215</v>
      </c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9"/>
      <c r="V268" s="9"/>
      <c r="W268" s="9"/>
      <c r="X268" s="5">
        <v>1</v>
      </c>
      <c r="Y268" s="1"/>
      <c r="Z268" s="25"/>
      <c r="AA268" s="12"/>
    </row>
    <row r="269" spans="1:27" ht="17.100000000000001" customHeight="1" x14ac:dyDescent="0.45">
      <c r="A269" s="5">
        <v>267</v>
      </c>
      <c r="B269" s="7">
        <v>167401</v>
      </c>
      <c r="C269" s="2" t="s">
        <v>344</v>
      </c>
      <c r="D269" s="36" t="s">
        <v>215</v>
      </c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9"/>
      <c r="V269" s="9"/>
      <c r="W269" s="9"/>
      <c r="X269" s="5">
        <v>1</v>
      </c>
      <c r="Y269" s="1"/>
      <c r="Z269" s="25"/>
      <c r="AA269" s="12"/>
    </row>
    <row r="270" spans="1:27" ht="17.100000000000001" customHeight="1" x14ac:dyDescent="0.45">
      <c r="A270" s="5">
        <v>268</v>
      </c>
      <c r="B270" s="7" t="s">
        <v>546</v>
      </c>
      <c r="C270" s="2" t="s">
        <v>363</v>
      </c>
      <c r="D270" s="36" t="s">
        <v>215</v>
      </c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9">
        <v>1</v>
      </c>
      <c r="V270" s="9"/>
      <c r="W270" s="9"/>
      <c r="X270" s="5">
        <v>1</v>
      </c>
      <c r="Y270" s="1">
        <v>12</v>
      </c>
      <c r="Z270" s="25">
        <v>74.2</v>
      </c>
      <c r="AA270" s="12"/>
    </row>
    <row r="271" spans="1:27" ht="17.100000000000001" customHeight="1" x14ac:dyDescent="0.45">
      <c r="A271" s="5">
        <v>269</v>
      </c>
      <c r="B271" s="7">
        <v>167425</v>
      </c>
      <c r="C271" s="2" t="s">
        <v>547</v>
      </c>
      <c r="D271" s="36" t="s">
        <v>215</v>
      </c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9"/>
      <c r="V271" s="9"/>
      <c r="W271" s="9"/>
      <c r="X271" s="5">
        <v>1</v>
      </c>
      <c r="Y271" s="1"/>
      <c r="Z271" s="25"/>
      <c r="AA271" s="12"/>
    </row>
    <row r="272" spans="1:27" ht="17.100000000000001" customHeight="1" x14ac:dyDescent="0.45">
      <c r="A272" s="5">
        <v>270</v>
      </c>
      <c r="B272" s="7">
        <v>167423</v>
      </c>
      <c r="C272" s="2" t="s">
        <v>548</v>
      </c>
      <c r="D272" s="36" t="s">
        <v>215</v>
      </c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9">
        <v>0.16666666666666666</v>
      </c>
      <c r="V272" s="9"/>
      <c r="W272" s="9"/>
      <c r="X272" s="5">
        <v>1</v>
      </c>
      <c r="Y272" s="1">
        <v>1</v>
      </c>
      <c r="Z272" s="25">
        <v>19.5</v>
      </c>
      <c r="AA272" s="12"/>
    </row>
    <row r="273" spans="1:27" ht="17.100000000000001" customHeight="1" x14ac:dyDescent="0.45">
      <c r="A273" s="5">
        <v>271</v>
      </c>
      <c r="B273" s="7">
        <v>167421</v>
      </c>
      <c r="C273" s="2" t="s">
        <v>549</v>
      </c>
      <c r="D273" s="36" t="s">
        <v>215</v>
      </c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9">
        <v>0.14583333333333334</v>
      </c>
      <c r="V273" s="9"/>
      <c r="W273" s="9"/>
      <c r="X273" s="5">
        <v>1</v>
      </c>
      <c r="Y273" s="1">
        <v>1</v>
      </c>
      <c r="Z273" s="25">
        <v>15.5</v>
      </c>
      <c r="AA273" s="12"/>
    </row>
    <row r="274" spans="1:27" ht="18" customHeight="1" x14ac:dyDescent="0.45">
      <c r="A274" s="5">
        <v>272</v>
      </c>
      <c r="B274" s="7" t="s">
        <v>550</v>
      </c>
      <c r="C274" s="2" t="s">
        <v>510</v>
      </c>
      <c r="D274" s="36" t="s">
        <v>35</v>
      </c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9"/>
      <c r="V274" s="9"/>
      <c r="W274" s="9"/>
      <c r="X274" s="5">
        <v>2</v>
      </c>
      <c r="Y274" s="1">
        <v>4</v>
      </c>
      <c r="Z274" s="25"/>
      <c r="AA274" s="12"/>
    </row>
    <row r="275" spans="1:27" ht="17.100000000000001" customHeight="1" x14ac:dyDescent="0.45">
      <c r="A275" s="5">
        <v>273</v>
      </c>
      <c r="B275" s="7" t="s">
        <v>552</v>
      </c>
      <c r="C275" s="2" t="s">
        <v>551</v>
      </c>
      <c r="D275" s="36" t="s">
        <v>35</v>
      </c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9"/>
      <c r="V275" s="9"/>
      <c r="W275" s="9"/>
      <c r="X275" s="5">
        <v>1</v>
      </c>
      <c r="Y275" s="1"/>
      <c r="Z275" s="25"/>
      <c r="AA275" s="12"/>
    </row>
    <row r="276" spans="1:27" ht="17.100000000000001" customHeight="1" x14ac:dyDescent="0.45">
      <c r="A276" s="5">
        <v>274</v>
      </c>
      <c r="B276" s="7" t="s">
        <v>554</v>
      </c>
      <c r="C276" s="2" t="s">
        <v>553</v>
      </c>
      <c r="D276" s="36" t="s">
        <v>35</v>
      </c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9"/>
      <c r="V276" s="9"/>
      <c r="W276" s="9"/>
      <c r="X276" s="5">
        <v>1</v>
      </c>
      <c r="Y276" s="1"/>
      <c r="Z276" s="25"/>
      <c r="AA276" s="12"/>
    </row>
    <row r="277" spans="1:27" ht="17.100000000000001" customHeight="1" x14ac:dyDescent="0.45">
      <c r="A277" s="5">
        <v>275</v>
      </c>
      <c r="B277" s="7" t="s">
        <v>555</v>
      </c>
      <c r="C277" s="2" t="s">
        <v>341</v>
      </c>
      <c r="D277" s="36" t="s">
        <v>35</v>
      </c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9"/>
      <c r="V277" s="9"/>
      <c r="W277" s="9"/>
      <c r="X277" s="12">
        <v>1</v>
      </c>
      <c r="Y277" s="1"/>
      <c r="Z277" s="25"/>
      <c r="AA277" s="12"/>
    </row>
    <row r="278" spans="1:27" ht="17.100000000000001" customHeight="1" x14ac:dyDescent="0.45">
      <c r="A278" s="5">
        <v>276</v>
      </c>
      <c r="B278" s="7">
        <v>168403</v>
      </c>
      <c r="C278" s="2" t="s">
        <v>343</v>
      </c>
      <c r="D278" s="36" t="s">
        <v>35</v>
      </c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9"/>
      <c r="V278" s="9"/>
      <c r="W278" s="9"/>
      <c r="X278" s="5">
        <v>1</v>
      </c>
      <c r="Y278" s="1"/>
      <c r="Z278" s="25"/>
      <c r="AA278" s="12"/>
    </row>
    <row r="279" spans="1:27" ht="17.100000000000001" customHeight="1" x14ac:dyDescent="0.45">
      <c r="A279" s="5">
        <v>277</v>
      </c>
      <c r="B279" s="7">
        <v>168401</v>
      </c>
      <c r="C279" s="2" t="s">
        <v>344</v>
      </c>
      <c r="D279" s="36" t="s">
        <v>35</v>
      </c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9"/>
      <c r="V279" s="9"/>
      <c r="W279" s="9"/>
      <c r="X279" s="5">
        <v>1</v>
      </c>
      <c r="Y279" s="1"/>
      <c r="Z279" s="25"/>
      <c r="AA279" s="12"/>
    </row>
    <row r="280" spans="1:27" ht="18" x14ac:dyDescent="0.45">
      <c r="A280" s="5">
        <v>278</v>
      </c>
      <c r="B280" s="7">
        <v>168441</v>
      </c>
      <c r="C280" s="2" t="s">
        <v>556</v>
      </c>
      <c r="D280" s="36" t="s">
        <v>35</v>
      </c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9"/>
      <c r="V280" s="9"/>
      <c r="W280" s="9"/>
      <c r="X280" s="5"/>
      <c r="Y280" s="1"/>
      <c r="Z280" s="25"/>
      <c r="AA280" s="12"/>
    </row>
    <row r="281" spans="1:27" ht="17.100000000000001" customHeight="1" x14ac:dyDescent="0.2">
      <c r="A281" s="5">
        <v>279</v>
      </c>
      <c r="B281" s="7" t="s">
        <v>557</v>
      </c>
      <c r="C281" s="10" t="s">
        <v>380</v>
      </c>
      <c r="D281" s="36" t="s">
        <v>9</v>
      </c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9">
        <v>0.45833333333333331</v>
      </c>
      <c r="V281" s="9"/>
      <c r="W281" s="9"/>
      <c r="X281" s="5">
        <v>3</v>
      </c>
      <c r="Y281" s="1">
        <v>11</v>
      </c>
      <c r="Z281" s="25">
        <v>55.8</v>
      </c>
      <c r="AA281" s="11"/>
    </row>
    <row r="282" spans="1:27" ht="17.100000000000001" customHeight="1" x14ac:dyDescent="0.2">
      <c r="A282" s="5">
        <v>280</v>
      </c>
      <c r="B282" s="7" t="s">
        <v>559</v>
      </c>
      <c r="C282" s="22" t="s">
        <v>558</v>
      </c>
      <c r="D282" s="36" t="s">
        <v>9</v>
      </c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9"/>
      <c r="V282" s="9"/>
      <c r="W282" s="9"/>
      <c r="X282" s="5">
        <v>1</v>
      </c>
      <c r="Y282" s="1"/>
      <c r="Z282" s="25"/>
      <c r="AA282" s="12"/>
    </row>
    <row r="283" spans="1:27" ht="17.100000000000001" customHeight="1" x14ac:dyDescent="0.2">
      <c r="A283" s="5">
        <v>281</v>
      </c>
      <c r="B283" s="7" t="s">
        <v>560</v>
      </c>
      <c r="C283" s="22" t="s">
        <v>333</v>
      </c>
      <c r="D283" s="36" t="s">
        <v>9</v>
      </c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9">
        <v>0.41666666666666669</v>
      </c>
      <c r="V283" s="9"/>
      <c r="W283" s="9"/>
      <c r="X283" s="5">
        <v>1</v>
      </c>
      <c r="Y283" s="1">
        <v>1</v>
      </c>
      <c r="Z283" s="25">
        <v>44.5</v>
      </c>
      <c r="AA283" s="25"/>
    </row>
    <row r="284" spans="1:27" ht="17.100000000000001" customHeight="1" x14ac:dyDescent="0.2">
      <c r="A284" s="5">
        <v>282</v>
      </c>
      <c r="B284" s="7">
        <v>500220</v>
      </c>
      <c r="C284" s="10" t="s">
        <v>335</v>
      </c>
      <c r="D284" s="36" t="s">
        <v>9</v>
      </c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9">
        <v>0.66666666666666663</v>
      </c>
      <c r="V284" s="9"/>
      <c r="W284" s="9"/>
      <c r="X284" s="5">
        <v>3</v>
      </c>
      <c r="Y284" s="1">
        <v>5</v>
      </c>
      <c r="Z284" s="25" t="s">
        <v>1231</v>
      </c>
      <c r="AA284" s="25"/>
    </row>
    <row r="285" spans="1:27" ht="17.100000000000001" customHeight="1" x14ac:dyDescent="0.2">
      <c r="A285" s="5">
        <v>283</v>
      </c>
      <c r="B285" s="7" t="s">
        <v>561</v>
      </c>
      <c r="C285" s="22" t="s">
        <v>3</v>
      </c>
      <c r="D285" s="36" t="s">
        <v>9</v>
      </c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9">
        <v>0.16666666666666666</v>
      </c>
      <c r="V285" s="9"/>
      <c r="W285" s="9"/>
      <c r="X285" s="5">
        <v>1</v>
      </c>
      <c r="Y285" s="1">
        <v>2</v>
      </c>
      <c r="Z285" s="25">
        <v>46.3</v>
      </c>
      <c r="AA285" s="12"/>
    </row>
    <row r="286" spans="1:27" ht="17.100000000000001" customHeight="1" x14ac:dyDescent="0.2">
      <c r="A286" s="5">
        <v>284</v>
      </c>
      <c r="B286" s="7" t="s">
        <v>563</v>
      </c>
      <c r="C286" s="10" t="s">
        <v>562</v>
      </c>
      <c r="D286" s="36" t="s">
        <v>9</v>
      </c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9">
        <v>0.33333333333333331</v>
      </c>
      <c r="V286" s="9"/>
      <c r="W286" s="9"/>
      <c r="X286" s="12">
        <v>1</v>
      </c>
      <c r="Y286" s="1"/>
      <c r="Z286" s="25">
        <v>21.6</v>
      </c>
      <c r="AA286" s="12"/>
    </row>
    <row r="287" spans="1:27" ht="17.100000000000001" customHeight="1" x14ac:dyDescent="0.2">
      <c r="A287" s="5">
        <v>285</v>
      </c>
      <c r="B287" s="7">
        <v>500403</v>
      </c>
      <c r="C287" s="10" t="s">
        <v>564</v>
      </c>
      <c r="D287" s="36" t="s">
        <v>9</v>
      </c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9">
        <v>0.33333333333333331</v>
      </c>
      <c r="V287" s="9"/>
      <c r="W287" s="9"/>
      <c r="X287" s="5">
        <v>1</v>
      </c>
      <c r="Y287" s="1"/>
      <c r="Z287" s="25"/>
      <c r="AA287" s="12"/>
    </row>
    <row r="288" spans="1:27" ht="17.100000000000001" customHeight="1" x14ac:dyDescent="0.2">
      <c r="A288" s="5">
        <v>286</v>
      </c>
      <c r="B288" s="7">
        <v>500401</v>
      </c>
      <c r="C288" s="10" t="s">
        <v>344</v>
      </c>
      <c r="D288" s="36" t="s">
        <v>9</v>
      </c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9">
        <v>0.16666666666666666</v>
      </c>
      <c r="V288" s="9"/>
      <c r="W288" s="9"/>
      <c r="X288" s="5">
        <v>1</v>
      </c>
      <c r="Y288" s="1"/>
      <c r="Z288" s="25"/>
      <c r="AA288" s="12"/>
    </row>
    <row r="289" spans="1:27" ht="18" x14ac:dyDescent="0.2">
      <c r="A289" s="5">
        <v>287</v>
      </c>
      <c r="B289" s="7" t="s">
        <v>565</v>
      </c>
      <c r="C289" s="22" t="s">
        <v>345</v>
      </c>
      <c r="D289" s="36" t="s">
        <v>9</v>
      </c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9"/>
      <c r="V289" s="9"/>
      <c r="W289" s="9"/>
      <c r="X289" s="5"/>
      <c r="Y289" s="1"/>
      <c r="Z289" s="25"/>
      <c r="AA289" s="14"/>
    </row>
    <row r="290" spans="1:27" ht="17.100000000000001" customHeight="1" x14ac:dyDescent="0.2">
      <c r="A290" s="5">
        <v>288</v>
      </c>
      <c r="B290" s="7" t="s">
        <v>567</v>
      </c>
      <c r="C290" s="10" t="s">
        <v>566</v>
      </c>
      <c r="D290" s="36" t="s">
        <v>9</v>
      </c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9"/>
      <c r="V290" s="9"/>
      <c r="W290" s="9"/>
      <c r="X290" s="5">
        <v>2</v>
      </c>
      <c r="Y290" s="1"/>
      <c r="Z290" s="25"/>
      <c r="AA290" s="12"/>
    </row>
    <row r="291" spans="1:27" ht="18" x14ac:dyDescent="0.2">
      <c r="A291" s="5">
        <v>289</v>
      </c>
      <c r="B291" s="7" t="s">
        <v>568</v>
      </c>
      <c r="C291" s="22" t="s">
        <v>351</v>
      </c>
      <c r="D291" s="36" t="s">
        <v>9</v>
      </c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9"/>
      <c r="V291" s="9"/>
      <c r="W291" s="9"/>
      <c r="X291" s="5"/>
      <c r="Y291" s="1"/>
      <c r="Z291" s="25"/>
      <c r="AA291" s="14"/>
    </row>
    <row r="292" spans="1:27" ht="18" x14ac:dyDescent="0.2">
      <c r="A292" s="5">
        <v>290</v>
      </c>
      <c r="B292" s="7" t="s">
        <v>570</v>
      </c>
      <c r="C292" s="10" t="s">
        <v>569</v>
      </c>
      <c r="D292" s="36" t="s">
        <v>9</v>
      </c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9"/>
      <c r="V292" s="9"/>
      <c r="W292" s="9"/>
      <c r="X292" s="5"/>
      <c r="Y292" s="1"/>
      <c r="Z292" s="25"/>
      <c r="AA292" s="12"/>
    </row>
    <row r="293" spans="1:27" ht="18" x14ac:dyDescent="0.2">
      <c r="A293" s="5">
        <v>291</v>
      </c>
      <c r="B293" s="7" t="s">
        <v>572</v>
      </c>
      <c r="C293" s="22" t="s">
        <v>571</v>
      </c>
      <c r="D293" s="36" t="s">
        <v>9</v>
      </c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9"/>
      <c r="V293" s="9"/>
      <c r="W293" s="9"/>
      <c r="X293" s="5"/>
      <c r="Y293" s="1"/>
      <c r="Z293" s="25"/>
      <c r="AA293" s="12"/>
    </row>
    <row r="294" spans="1:27" ht="18" x14ac:dyDescent="0.2">
      <c r="A294" s="5">
        <v>292</v>
      </c>
      <c r="B294" s="7" t="s">
        <v>573</v>
      </c>
      <c r="C294" s="10" t="s">
        <v>361</v>
      </c>
      <c r="D294" s="36" t="s">
        <v>9</v>
      </c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9">
        <v>0.66666666666666663</v>
      </c>
      <c r="V294" s="9"/>
      <c r="W294" s="9"/>
      <c r="X294" s="5">
        <v>1</v>
      </c>
      <c r="Y294" s="1">
        <v>4</v>
      </c>
      <c r="Z294" s="25">
        <v>70.099999999999994</v>
      </c>
      <c r="AA294" s="12"/>
    </row>
    <row r="295" spans="1:27" ht="17.100000000000001" customHeight="1" x14ac:dyDescent="0.2">
      <c r="A295" s="5">
        <v>293</v>
      </c>
      <c r="B295" s="7" t="s">
        <v>574</v>
      </c>
      <c r="C295" s="22" t="s">
        <v>363</v>
      </c>
      <c r="D295" s="36" t="s">
        <v>9</v>
      </c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9">
        <v>1</v>
      </c>
      <c r="V295" s="9"/>
      <c r="W295" s="9"/>
      <c r="X295" s="5">
        <v>1</v>
      </c>
      <c r="Y295" s="1"/>
      <c r="Z295" s="25"/>
      <c r="AA295" s="12"/>
    </row>
    <row r="296" spans="1:27" ht="17.100000000000001" customHeight="1" x14ac:dyDescent="0.2">
      <c r="A296" s="5">
        <v>294</v>
      </c>
      <c r="B296" s="7" t="s">
        <v>576</v>
      </c>
      <c r="C296" s="10" t="s">
        <v>575</v>
      </c>
      <c r="D296" s="36" t="s">
        <v>9</v>
      </c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9">
        <v>0.16666666666666666</v>
      </c>
      <c r="V296" s="9"/>
      <c r="W296" s="9"/>
      <c r="X296" s="5">
        <v>1</v>
      </c>
      <c r="Y296" s="1">
        <v>7</v>
      </c>
      <c r="Z296" s="25">
        <v>48.5</v>
      </c>
      <c r="AA296" s="12"/>
    </row>
    <row r="297" spans="1:27" ht="18" x14ac:dyDescent="0.2">
      <c r="A297" s="5">
        <v>295</v>
      </c>
      <c r="B297" s="7" t="s">
        <v>578</v>
      </c>
      <c r="C297" s="22" t="s">
        <v>577</v>
      </c>
      <c r="D297" s="36" t="s">
        <v>9</v>
      </c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9"/>
      <c r="V297" s="9"/>
      <c r="W297" s="9"/>
      <c r="X297" s="5"/>
      <c r="Y297" s="1"/>
      <c r="Z297" s="25"/>
      <c r="AA297" s="12"/>
    </row>
    <row r="298" spans="1:27" ht="17.100000000000001" customHeight="1" x14ac:dyDescent="0.2">
      <c r="A298" s="5">
        <v>296</v>
      </c>
      <c r="B298" s="7" t="s">
        <v>580</v>
      </c>
      <c r="C298" s="10" t="s">
        <v>579</v>
      </c>
      <c r="D298" s="36" t="s">
        <v>9</v>
      </c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9"/>
      <c r="V298" s="9"/>
      <c r="W298" s="9"/>
      <c r="X298" s="5">
        <v>1</v>
      </c>
      <c r="Y298" s="1"/>
      <c r="Z298" s="25"/>
      <c r="AA298" s="12"/>
    </row>
    <row r="299" spans="1:27" ht="18" x14ac:dyDescent="0.2">
      <c r="A299" s="5">
        <v>297</v>
      </c>
      <c r="B299" s="7" t="s">
        <v>582</v>
      </c>
      <c r="C299" s="22" t="s">
        <v>581</v>
      </c>
      <c r="D299" s="36" t="s">
        <v>9</v>
      </c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9"/>
      <c r="V299" s="9"/>
      <c r="W299" s="9"/>
      <c r="X299" s="5"/>
      <c r="Y299" s="1"/>
      <c r="Z299" s="25"/>
      <c r="AA299" s="12"/>
    </row>
    <row r="300" spans="1:27" ht="18" x14ac:dyDescent="0.2">
      <c r="A300" s="5">
        <v>298</v>
      </c>
      <c r="B300" s="7" t="s">
        <v>584</v>
      </c>
      <c r="C300" s="10" t="s">
        <v>583</v>
      </c>
      <c r="D300" s="36" t="s">
        <v>9</v>
      </c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9"/>
      <c r="V300" s="9"/>
      <c r="W300" s="9"/>
      <c r="X300" s="5"/>
      <c r="Y300" s="1"/>
      <c r="Z300" s="25"/>
      <c r="AA300" s="12"/>
    </row>
    <row r="301" spans="1:27" ht="17.100000000000001" customHeight="1" x14ac:dyDescent="0.2">
      <c r="A301" s="5">
        <v>299</v>
      </c>
      <c r="B301" s="7" t="s">
        <v>585</v>
      </c>
      <c r="C301" s="10" t="s">
        <v>380</v>
      </c>
      <c r="D301" s="36" t="s">
        <v>586</v>
      </c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9"/>
      <c r="V301" s="9"/>
      <c r="W301" s="9"/>
      <c r="X301" s="5">
        <v>3</v>
      </c>
      <c r="Y301" s="1"/>
      <c r="Z301" s="25"/>
      <c r="AA301" s="11"/>
    </row>
    <row r="302" spans="1:27" ht="17.100000000000001" customHeight="1" x14ac:dyDescent="0.2">
      <c r="A302" s="5">
        <v>300</v>
      </c>
      <c r="B302" s="7" t="s">
        <v>588</v>
      </c>
      <c r="C302" s="22" t="s">
        <v>587</v>
      </c>
      <c r="D302" s="36" t="s">
        <v>586</v>
      </c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9"/>
      <c r="V302" s="9"/>
      <c r="W302" s="9"/>
      <c r="X302" s="5">
        <v>1</v>
      </c>
      <c r="Y302" s="1"/>
      <c r="Z302" s="25"/>
      <c r="AA302" s="12"/>
    </row>
    <row r="303" spans="1:27" ht="17.100000000000001" customHeight="1" x14ac:dyDescent="0.2">
      <c r="A303" s="5">
        <v>301</v>
      </c>
      <c r="B303" s="7" t="s">
        <v>589</v>
      </c>
      <c r="C303" s="22" t="s">
        <v>333</v>
      </c>
      <c r="D303" s="36" t="s">
        <v>586</v>
      </c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9">
        <v>0.33333333333333331</v>
      </c>
      <c r="V303" s="9"/>
      <c r="W303" s="9"/>
      <c r="X303" s="5">
        <v>1</v>
      </c>
      <c r="Y303" s="1">
        <v>1</v>
      </c>
      <c r="Z303" s="25">
        <v>39.4</v>
      </c>
      <c r="AA303" s="25"/>
    </row>
    <row r="304" spans="1:27" ht="17.100000000000001" customHeight="1" x14ac:dyDescent="0.2">
      <c r="A304" s="5">
        <v>302</v>
      </c>
      <c r="B304" s="7" t="s">
        <v>590</v>
      </c>
      <c r="C304" s="10" t="s">
        <v>335</v>
      </c>
      <c r="D304" s="36" t="s">
        <v>586</v>
      </c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9">
        <v>0.66666666666666663</v>
      </c>
      <c r="V304" s="9"/>
      <c r="W304" s="9"/>
      <c r="X304" s="5">
        <v>3</v>
      </c>
      <c r="Y304" s="1">
        <v>5</v>
      </c>
      <c r="Z304" s="25">
        <v>70</v>
      </c>
      <c r="AA304" s="25"/>
    </row>
    <row r="305" spans="1:27" ht="17.100000000000001" customHeight="1" x14ac:dyDescent="0.2">
      <c r="A305" s="5">
        <v>303</v>
      </c>
      <c r="B305" s="7" t="s">
        <v>591</v>
      </c>
      <c r="C305" s="22" t="s">
        <v>3</v>
      </c>
      <c r="D305" s="36" t="s">
        <v>586</v>
      </c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9">
        <v>0.20833333333333334</v>
      </c>
      <c r="V305" s="9"/>
      <c r="W305" s="9"/>
      <c r="X305" s="5">
        <v>1</v>
      </c>
      <c r="Y305" s="1">
        <v>2</v>
      </c>
      <c r="Z305" s="25">
        <v>38.799999999999997</v>
      </c>
      <c r="AA305" s="12"/>
    </row>
    <row r="306" spans="1:27" ht="17.100000000000001" customHeight="1" x14ac:dyDescent="0.2">
      <c r="A306" s="5">
        <v>304</v>
      </c>
      <c r="B306" s="7" t="s">
        <v>592</v>
      </c>
      <c r="C306" s="10" t="s">
        <v>341</v>
      </c>
      <c r="D306" s="36" t="s">
        <v>586</v>
      </c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9">
        <v>0.33333333333333331</v>
      </c>
      <c r="V306" s="9"/>
      <c r="W306" s="9"/>
      <c r="X306" s="12">
        <v>1</v>
      </c>
      <c r="Y306" s="1">
        <v>5</v>
      </c>
      <c r="Z306" s="25">
        <v>22.2</v>
      </c>
      <c r="AA306" s="12"/>
    </row>
    <row r="307" spans="1:27" ht="17.100000000000001" customHeight="1" x14ac:dyDescent="0.2">
      <c r="A307" s="5">
        <v>305</v>
      </c>
      <c r="B307" s="7">
        <v>480403</v>
      </c>
      <c r="C307" s="10" t="s">
        <v>343</v>
      </c>
      <c r="D307" s="36" t="s">
        <v>586</v>
      </c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9"/>
      <c r="V307" s="9"/>
      <c r="W307" s="9"/>
      <c r="X307" s="5">
        <v>1</v>
      </c>
      <c r="Y307" s="1"/>
      <c r="Z307" s="25"/>
      <c r="AA307" s="12"/>
    </row>
    <row r="308" spans="1:27" ht="17.100000000000001" customHeight="1" x14ac:dyDescent="0.2">
      <c r="A308" s="5">
        <v>306</v>
      </c>
      <c r="B308" s="7">
        <v>480401</v>
      </c>
      <c r="C308" s="10" t="s">
        <v>344</v>
      </c>
      <c r="D308" s="36" t="s">
        <v>586</v>
      </c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9"/>
      <c r="V308" s="9"/>
      <c r="W308" s="9"/>
      <c r="X308" s="5">
        <v>1</v>
      </c>
      <c r="Y308" s="1"/>
      <c r="Z308" s="25"/>
      <c r="AA308" s="12"/>
    </row>
    <row r="309" spans="1:27" ht="18" x14ac:dyDescent="0.2">
      <c r="A309" s="5">
        <v>307</v>
      </c>
      <c r="B309" s="7" t="s">
        <v>593</v>
      </c>
      <c r="C309" s="22" t="s">
        <v>345</v>
      </c>
      <c r="D309" s="36" t="s">
        <v>586</v>
      </c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9"/>
      <c r="V309" s="9"/>
      <c r="W309" s="9"/>
      <c r="X309" s="5"/>
      <c r="Y309" s="1"/>
      <c r="Z309" s="25"/>
      <c r="AA309" s="14"/>
    </row>
    <row r="310" spans="1:27" ht="17.100000000000001" customHeight="1" x14ac:dyDescent="0.2">
      <c r="A310" s="5">
        <v>308</v>
      </c>
      <c r="B310" s="7" t="s">
        <v>594</v>
      </c>
      <c r="C310" s="22" t="s">
        <v>361</v>
      </c>
      <c r="D310" s="36" t="s">
        <v>586</v>
      </c>
      <c r="E310" s="36"/>
      <c r="F310" s="36"/>
      <c r="G310" s="36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9">
        <v>0.66666666666666663</v>
      </c>
      <c r="V310" s="9"/>
      <c r="W310" s="9"/>
      <c r="X310" s="12">
        <v>1</v>
      </c>
      <c r="Y310" s="1">
        <v>4</v>
      </c>
      <c r="Z310" s="25">
        <v>73.5</v>
      </c>
      <c r="AA310" s="12"/>
    </row>
    <row r="311" spans="1:27" ht="17.100000000000001" customHeight="1" x14ac:dyDescent="0.2">
      <c r="A311" s="5">
        <v>309</v>
      </c>
      <c r="B311" s="112" t="s">
        <v>1442</v>
      </c>
      <c r="C311" s="113" t="s">
        <v>1401</v>
      </c>
      <c r="D311" s="36" t="s">
        <v>586</v>
      </c>
      <c r="E311" s="36"/>
      <c r="F311" s="36" t="s">
        <v>1504</v>
      </c>
      <c r="G311" s="36"/>
      <c r="H311" s="36"/>
      <c r="I311" s="36"/>
      <c r="J311" s="36"/>
      <c r="K311" s="36">
        <v>2990</v>
      </c>
      <c r="L311" s="36"/>
      <c r="M311" s="36">
        <v>4131</v>
      </c>
      <c r="N311" s="36">
        <v>561</v>
      </c>
      <c r="O311" s="36">
        <v>5157</v>
      </c>
      <c r="P311" s="36">
        <v>8146</v>
      </c>
      <c r="Q311" s="36"/>
      <c r="R311" s="36"/>
      <c r="S311" s="36"/>
      <c r="T311" s="114"/>
      <c r="U311" s="9">
        <v>0.83333333333333337</v>
      </c>
      <c r="V311" s="9">
        <v>0.14583333333333334</v>
      </c>
      <c r="W311" s="9">
        <v>0.125</v>
      </c>
      <c r="X311" s="5">
        <v>1</v>
      </c>
      <c r="Y311" s="5">
        <v>12</v>
      </c>
      <c r="Z311" s="5">
        <v>106.5</v>
      </c>
      <c r="AA311" s="115">
        <v>1.5</v>
      </c>
    </row>
    <row r="312" spans="1:27" ht="17.100000000000001" customHeight="1" x14ac:dyDescent="0.45">
      <c r="A312" s="5">
        <v>310</v>
      </c>
      <c r="B312" s="7" t="s">
        <v>595</v>
      </c>
      <c r="C312" s="13" t="s">
        <v>380</v>
      </c>
      <c r="D312" s="36" t="s">
        <v>69</v>
      </c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42">
        <v>0.375</v>
      </c>
      <c r="V312" s="42"/>
      <c r="W312" s="42"/>
      <c r="X312" s="5">
        <v>3</v>
      </c>
      <c r="Y312" s="1">
        <v>5</v>
      </c>
      <c r="Z312" s="25">
        <v>54.6</v>
      </c>
      <c r="AA312" s="11"/>
    </row>
    <row r="313" spans="1:27" ht="17.100000000000001" customHeight="1" x14ac:dyDescent="0.45">
      <c r="A313" s="5">
        <v>311</v>
      </c>
      <c r="B313" s="7" t="s">
        <v>596</v>
      </c>
      <c r="C313" s="2" t="s">
        <v>22</v>
      </c>
      <c r="D313" s="36" t="s">
        <v>69</v>
      </c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9"/>
      <c r="V313" s="9"/>
      <c r="W313" s="9"/>
      <c r="X313" s="5">
        <v>1</v>
      </c>
      <c r="Y313" s="1"/>
      <c r="Z313" s="25"/>
      <c r="AA313" s="12"/>
    </row>
    <row r="314" spans="1:27" ht="17.100000000000001" customHeight="1" x14ac:dyDescent="0.45">
      <c r="A314" s="5">
        <v>312</v>
      </c>
      <c r="B314" s="7" t="s">
        <v>597</v>
      </c>
      <c r="C314" s="2" t="s">
        <v>3</v>
      </c>
      <c r="D314" s="36" t="s">
        <v>69</v>
      </c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9">
        <v>0.25</v>
      </c>
      <c r="V314" s="9"/>
      <c r="W314" s="9"/>
      <c r="X314" s="5">
        <v>1</v>
      </c>
      <c r="Y314" s="1">
        <v>2</v>
      </c>
      <c r="Z314" s="25">
        <v>28.2</v>
      </c>
      <c r="AA314" s="12"/>
    </row>
    <row r="315" spans="1:27" ht="17.100000000000001" customHeight="1" x14ac:dyDescent="0.45">
      <c r="A315" s="5">
        <v>313</v>
      </c>
      <c r="B315" s="7" t="s">
        <v>599</v>
      </c>
      <c r="C315" s="2" t="s">
        <v>598</v>
      </c>
      <c r="D315" s="36" t="s">
        <v>69</v>
      </c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42">
        <v>0.41666666666666669</v>
      </c>
      <c r="V315" s="42"/>
      <c r="W315" s="42"/>
      <c r="X315" s="5">
        <v>2</v>
      </c>
      <c r="Y315" s="1">
        <v>6</v>
      </c>
      <c r="Z315" s="25">
        <v>44</v>
      </c>
      <c r="AA315" s="25"/>
    </row>
    <row r="316" spans="1:27" ht="17.100000000000001" customHeight="1" x14ac:dyDescent="0.45">
      <c r="A316" s="5">
        <v>314</v>
      </c>
      <c r="B316" s="7" t="s">
        <v>601</v>
      </c>
      <c r="C316" s="2" t="s">
        <v>600</v>
      </c>
      <c r="D316" s="36" t="s">
        <v>69</v>
      </c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9">
        <v>0.29166666666666669</v>
      </c>
      <c r="V316" s="9"/>
      <c r="W316" s="9"/>
      <c r="X316" s="5">
        <v>1</v>
      </c>
      <c r="Y316" s="1">
        <v>6</v>
      </c>
      <c r="Z316" s="41">
        <v>44</v>
      </c>
      <c r="AA316" s="25"/>
    </row>
    <row r="317" spans="1:27" ht="18" customHeight="1" x14ac:dyDescent="0.2">
      <c r="A317" s="5">
        <v>315</v>
      </c>
      <c r="B317" s="7" t="s">
        <v>602</v>
      </c>
      <c r="C317" s="22" t="s">
        <v>341</v>
      </c>
      <c r="D317" s="36" t="s">
        <v>69</v>
      </c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9">
        <v>0.33333333333333331</v>
      </c>
      <c r="V317" s="9"/>
      <c r="W317" s="9"/>
      <c r="X317" s="12">
        <v>1</v>
      </c>
      <c r="Y317" s="1">
        <v>15</v>
      </c>
      <c r="Z317" s="25">
        <v>34.6</v>
      </c>
      <c r="AA317" s="16"/>
    </row>
    <row r="318" spans="1:27" ht="17.100000000000001" customHeight="1" x14ac:dyDescent="0.2">
      <c r="A318" s="5">
        <v>316</v>
      </c>
      <c r="B318" s="7" t="s">
        <v>1468</v>
      </c>
      <c r="C318" s="22" t="s">
        <v>343</v>
      </c>
      <c r="D318" s="36" t="s">
        <v>69</v>
      </c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9">
        <v>0.33333333333333331</v>
      </c>
      <c r="V318" s="9"/>
      <c r="W318" s="9"/>
      <c r="X318" s="5">
        <v>1</v>
      </c>
      <c r="Y318" s="1">
        <v>15</v>
      </c>
      <c r="Z318" s="25">
        <v>34.799999999999997</v>
      </c>
      <c r="AA318" s="16"/>
    </row>
    <row r="319" spans="1:27" ht="17.100000000000001" customHeight="1" x14ac:dyDescent="0.2">
      <c r="A319" s="5">
        <v>317</v>
      </c>
      <c r="B319" s="7">
        <v>201401</v>
      </c>
      <c r="C319" s="22" t="s">
        <v>344</v>
      </c>
      <c r="D319" s="36" t="s">
        <v>69</v>
      </c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9">
        <v>0.33333333333333331</v>
      </c>
      <c r="V319" s="9"/>
      <c r="W319" s="9"/>
      <c r="X319" s="5">
        <v>1</v>
      </c>
      <c r="Y319" s="1">
        <v>15</v>
      </c>
      <c r="Z319" s="25">
        <v>28.6</v>
      </c>
      <c r="AA319" s="16"/>
    </row>
    <row r="320" spans="1:27" ht="17.100000000000001" customHeight="1" x14ac:dyDescent="0.45">
      <c r="A320" s="5">
        <v>318</v>
      </c>
      <c r="B320" s="7" t="s">
        <v>603</v>
      </c>
      <c r="C320" s="2" t="s">
        <v>414</v>
      </c>
      <c r="D320" s="36" t="s">
        <v>69</v>
      </c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9"/>
      <c r="V320" s="9"/>
      <c r="W320" s="9"/>
      <c r="X320" s="5">
        <v>1</v>
      </c>
      <c r="Y320" s="1">
        <v>1</v>
      </c>
      <c r="Z320" s="25"/>
      <c r="AA320" s="12"/>
    </row>
    <row r="321" spans="1:27" ht="17.100000000000001" customHeight="1" x14ac:dyDescent="0.45">
      <c r="A321" s="5">
        <v>319</v>
      </c>
      <c r="B321" s="7" t="s">
        <v>605</v>
      </c>
      <c r="C321" s="2" t="s">
        <v>604</v>
      </c>
      <c r="D321" s="36" t="s">
        <v>69</v>
      </c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9"/>
      <c r="V321" s="9"/>
      <c r="W321" s="9"/>
      <c r="X321" s="5">
        <v>1</v>
      </c>
      <c r="Y321" s="1"/>
      <c r="Z321" s="25"/>
      <c r="AA321" s="12"/>
    </row>
    <row r="322" spans="1:27" ht="17.100000000000001" customHeight="1" x14ac:dyDescent="0.45">
      <c r="A322" s="5">
        <v>320</v>
      </c>
      <c r="B322" s="7">
        <v>201711</v>
      </c>
      <c r="C322" s="2" t="s">
        <v>606</v>
      </c>
      <c r="D322" s="36" t="s">
        <v>69</v>
      </c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9">
        <v>1.3888888888888888E-2</v>
      </c>
      <c r="V322" s="9"/>
      <c r="W322" s="9"/>
      <c r="X322" s="5">
        <v>1</v>
      </c>
      <c r="Y322" s="1">
        <v>2</v>
      </c>
      <c r="Z322" s="25">
        <v>3.5</v>
      </c>
      <c r="AA322" s="12"/>
    </row>
    <row r="323" spans="1:27" ht="17.100000000000001" customHeight="1" x14ac:dyDescent="0.45">
      <c r="A323" s="5">
        <v>321</v>
      </c>
      <c r="B323" s="7">
        <v>201715</v>
      </c>
      <c r="C323" s="2" t="s">
        <v>607</v>
      </c>
      <c r="D323" s="36" t="s">
        <v>69</v>
      </c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9"/>
      <c r="V323" s="9"/>
      <c r="W323" s="9"/>
      <c r="X323" s="5">
        <v>1</v>
      </c>
      <c r="Y323" s="1">
        <v>2</v>
      </c>
      <c r="Z323" s="25"/>
      <c r="AA323" s="12"/>
    </row>
    <row r="324" spans="1:27" ht="17.100000000000001" customHeight="1" x14ac:dyDescent="0.45">
      <c r="A324" s="5">
        <v>322</v>
      </c>
      <c r="B324" s="7">
        <v>201718</v>
      </c>
      <c r="C324" s="2" t="s">
        <v>608</v>
      </c>
      <c r="D324" s="36" t="s">
        <v>69</v>
      </c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9"/>
      <c r="V324" s="9"/>
      <c r="W324" s="9"/>
      <c r="X324" s="5">
        <v>1</v>
      </c>
      <c r="Y324" s="1">
        <v>2</v>
      </c>
      <c r="Z324" s="25"/>
      <c r="AA324" s="12"/>
    </row>
    <row r="325" spans="1:27" ht="17.100000000000001" customHeight="1" x14ac:dyDescent="0.45">
      <c r="A325" s="5">
        <v>323</v>
      </c>
      <c r="B325" s="7" t="s">
        <v>610</v>
      </c>
      <c r="C325" s="2" t="s">
        <v>609</v>
      </c>
      <c r="D325" s="36" t="s">
        <v>69</v>
      </c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9">
        <v>0.25</v>
      </c>
      <c r="V325" s="9"/>
      <c r="W325" s="9"/>
      <c r="X325" s="5">
        <v>1</v>
      </c>
      <c r="Y325" s="1">
        <v>1</v>
      </c>
      <c r="Z325" s="25">
        <v>19.3</v>
      </c>
      <c r="AA325" s="12"/>
    </row>
    <row r="326" spans="1:27" ht="17.100000000000001" customHeight="1" x14ac:dyDescent="0.45">
      <c r="A326" s="5">
        <v>324</v>
      </c>
      <c r="B326" s="7" t="s">
        <v>612</v>
      </c>
      <c r="C326" s="2" t="s">
        <v>611</v>
      </c>
      <c r="D326" s="36" t="s">
        <v>69</v>
      </c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9">
        <v>0.14583333333333334</v>
      </c>
      <c r="V326" s="9"/>
      <c r="W326" s="9"/>
      <c r="X326" s="5">
        <v>1</v>
      </c>
      <c r="Y326" s="1">
        <v>1</v>
      </c>
      <c r="Z326" s="25">
        <v>18.2</v>
      </c>
      <c r="AA326" s="12"/>
    </row>
    <row r="327" spans="1:27" ht="17.100000000000001" customHeight="1" x14ac:dyDescent="0.2">
      <c r="A327" s="5">
        <v>325</v>
      </c>
      <c r="B327" s="7" t="s">
        <v>614</v>
      </c>
      <c r="C327" s="27" t="s">
        <v>613</v>
      </c>
      <c r="D327" s="36" t="s">
        <v>69</v>
      </c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9">
        <v>0.125</v>
      </c>
      <c r="V327" s="9"/>
      <c r="W327" s="9"/>
      <c r="X327" s="5">
        <v>1</v>
      </c>
      <c r="Y327" s="1">
        <v>3</v>
      </c>
      <c r="Z327" s="25">
        <v>21.7</v>
      </c>
      <c r="AA327" s="11"/>
    </row>
    <row r="328" spans="1:27" ht="17.100000000000001" customHeight="1" x14ac:dyDescent="0.45">
      <c r="A328" s="5">
        <v>326</v>
      </c>
      <c r="B328" s="7" t="s">
        <v>615</v>
      </c>
      <c r="C328" s="13" t="s">
        <v>380</v>
      </c>
      <c r="D328" s="36" t="s">
        <v>108</v>
      </c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9">
        <v>0.375</v>
      </c>
      <c r="V328" s="9"/>
      <c r="W328" s="9"/>
      <c r="X328" s="5">
        <v>3</v>
      </c>
      <c r="Y328" s="1">
        <v>6</v>
      </c>
      <c r="Z328" s="25">
        <v>52.2</v>
      </c>
      <c r="AA328" s="11"/>
    </row>
    <row r="329" spans="1:27" ht="17.100000000000001" customHeight="1" x14ac:dyDescent="0.45">
      <c r="A329" s="5">
        <v>327</v>
      </c>
      <c r="B329" s="7">
        <v>222101</v>
      </c>
      <c r="C329" s="13" t="s">
        <v>380</v>
      </c>
      <c r="D329" s="36" t="s">
        <v>64</v>
      </c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9"/>
      <c r="V329" s="9"/>
      <c r="W329" s="9"/>
      <c r="X329" s="5">
        <v>3</v>
      </c>
      <c r="Y329" s="1"/>
      <c r="Z329" s="25"/>
      <c r="AA329" s="11"/>
    </row>
    <row r="330" spans="1:27" ht="35.65" customHeight="1" x14ac:dyDescent="0.5">
      <c r="A330" s="5">
        <v>328</v>
      </c>
      <c r="B330" s="7">
        <v>224103</v>
      </c>
      <c r="C330" s="13" t="s">
        <v>616</v>
      </c>
      <c r="D330" s="36" t="s">
        <v>108</v>
      </c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9"/>
      <c r="V330" s="9"/>
      <c r="W330" s="9"/>
      <c r="X330" s="5">
        <v>3</v>
      </c>
      <c r="Y330" s="1"/>
      <c r="Z330" s="25"/>
      <c r="AA330" s="11"/>
    </row>
    <row r="331" spans="1:27" ht="17.100000000000001" customHeight="1" x14ac:dyDescent="0.45">
      <c r="A331" s="5">
        <v>329</v>
      </c>
      <c r="B331" s="7">
        <v>222191</v>
      </c>
      <c r="C331" s="2" t="s">
        <v>22</v>
      </c>
      <c r="D331" s="36" t="s">
        <v>64</v>
      </c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9"/>
      <c r="V331" s="9"/>
      <c r="W331" s="9"/>
      <c r="X331" s="5">
        <v>1</v>
      </c>
      <c r="Y331" s="1"/>
      <c r="Z331" s="25"/>
      <c r="AA331" s="12"/>
    </row>
    <row r="332" spans="1:27" ht="17.100000000000001" customHeight="1" x14ac:dyDescent="0.45">
      <c r="A332" s="5">
        <v>330</v>
      </c>
      <c r="B332" s="7">
        <v>222200</v>
      </c>
      <c r="C332" s="2" t="s">
        <v>333</v>
      </c>
      <c r="D332" s="36" t="s">
        <v>64</v>
      </c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9"/>
      <c r="V332" s="9"/>
      <c r="W332" s="9"/>
      <c r="X332" s="5">
        <v>1</v>
      </c>
      <c r="Y332" s="1">
        <v>1</v>
      </c>
      <c r="Z332" s="25">
        <v>38</v>
      </c>
      <c r="AA332" s="25"/>
    </row>
    <row r="333" spans="1:27" ht="34.15" customHeight="1" x14ac:dyDescent="0.45">
      <c r="A333" s="5">
        <v>331</v>
      </c>
      <c r="B333" s="7">
        <v>222220</v>
      </c>
      <c r="C333" s="13" t="s">
        <v>385</v>
      </c>
      <c r="D333" s="36" t="s">
        <v>64</v>
      </c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9"/>
      <c r="V333" s="9"/>
      <c r="W333" s="9"/>
      <c r="X333" s="5">
        <v>3</v>
      </c>
      <c r="Y333" s="1">
        <v>5</v>
      </c>
      <c r="Z333" s="25"/>
      <c r="AA333" s="25"/>
    </row>
    <row r="334" spans="1:27" ht="17.100000000000001" customHeight="1" x14ac:dyDescent="0.45">
      <c r="A334" s="5">
        <v>332</v>
      </c>
      <c r="B334" s="7">
        <v>222301</v>
      </c>
      <c r="C334" s="13" t="s">
        <v>620</v>
      </c>
      <c r="D334" s="36" t="s">
        <v>64</v>
      </c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9">
        <v>0.20833333333333334</v>
      </c>
      <c r="V334" s="9"/>
      <c r="W334" s="9"/>
      <c r="X334" s="5">
        <v>1</v>
      </c>
      <c r="Y334" s="1">
        <v>2</v>
      </c>
      <c r="Z334" s="25"/>
      <c r="AA334" s="12"/>
    </row>
    <row r="335" spans="1:27" ht="17.100000000000001" customHeight="1" x14ac:dyDescent="0.45">
      <c r="A335" s="5">
        <v>333</v>
      </c>
      <c r="B335" s="7" t="s">
        <v>617</v>
      </c>
      <c r="C335" s="2" t="s">
        <v>22</v>
      </c>
      <c r="D335" s="36" t="s">
        <v>108</v>
      </c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9"/>
      <c r="V335" s="9"/>
      <c r="W335" s="9"/>
      <c r="X335" s="5">
        <v>1</v>
      </c>
      <c r="Y335" s="1"/>
      <c r="Z335" s="25"/>
      <c r="AA335" s="12"/>
    </row>
    <row r="336" spans="1:27" ht="17.100000000000001" customHeight="1" x14ac:dyDescent="0.45">
      <c r="A336" s="5">
        <v>334</v>
      </c>
      <c r="B336" s="7" t="s">
        <v>618</v>
      </c>
      <c r="C336" s="2" t="s">
        <v>333</v>
      </c>
      <c r="D336" s="36" t="s">
        <v>108</v>
      </c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9">
        <v>0.33333333333333331</v>
      </c>
      <c r="V336" s="9"/>
      <c r="W336" s="9"/>
      <c r="X336" s="5">
        <v>1</v>
      </c>
      <c r="Y336" s="1">
        <v>1</v>
      </c>
      <c r="Z336" s="25">
        <v>38.700000000000003</v>
      </c>
      <c r="AA336" s="25"/>
    </row>
    <row r="337" spans="1:27" ht="36" x14ac:dyDescent="0.45">
      <c r="A337" s="5">
        <v>335</v>
      </c>
      <c r="B337" s="7" t="s">
        <v>619</v>
      </c>
      <c r="C337" s="13" t="s">
        <v>385</v>
      </c>
      <c r="D337" s="36" t="s">
        <v>108</v>
      </c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9">
        <v>0.66666666666666663</v>
      </c>
      <c r="V337" s="9"/>
      <c r="W337" s="9"/>
      <c r="X337" s="5">
        <v>3</v>
      </c>
      <c r="Y337" s="1">
        <v>5</v>
      </c>
      <c r="Z337" s="25">
        <v>65.3</v>
      </c>
      <c r="AA337" s="25"/>
    </row>
    <row r="338" spans="1:27" ht="18" x14ac:dyDescent="0.45">
      <c r="A338" s="5">
        <v>336</v>
      </c>
      <c r="B338" s="7" t="s">
        <v>621</v>
      </c>
      <c r="C338" s="13" t="s">
        <v>620</v>
      </c>
      <c r="D338" s="36" t="s">
        <v>108</v>
      </c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9">
        <v>0.20833333333333334</v>
      </c>
      <c r="V338" s="9"/>
      <c r="W338" s="9"/>
      <c r="X338" s="5">
        <v>1</v>
      </c>
      <c r="Y338" s="1">
        <v>2</v>
      </c>
      <c r="Z338" s="25">
        <v>43.1</v>
      </c>
      <c r="AA338" s="12"/>
    </row>
    <row r="339" spans="1:27" ht="18" x14ac:dyDescent="0.45">
      <c r="A339" s="5">
        <v>337</v>
      </c>
      <c r="B339" s="7" t="s">
        <v>623</v>
      </c>
      <c r="C339" s="2" t="s">
        <v>622</v>
      </c>
      <c r="D339" s="36" t="s">
        <v>156</v>
      </c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9">
        <v>0.25</v>
      </c>
      <c r="V339" s="9"/>
      <c r="W339" s="9"/>
      <c r="X339" s="5">
        <v>1</v>
      </c>
      <c r="Y339" s="1">
        <v>2</v>
      </c>
      <c r="Z339" s="25">
        <v>41.8</v>
      </c>
      <c r="AA339" s="12"/>
    </row>
    <row r="340" spans="1:27" ht="18" x14ac:dyDescent="0.45">
      <c r="A340" s="5">
        <v>338</v>
      </c>
      <c r="B340" s="7">
        <v>222405</v>
      </c>
      <c r="C340" s="13" t="s">
        <v>341</v>
      </c>
      <c r="D340" s="36" t="s">
        <v>64</v>
      </c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9">
        <v>0.25</v>
      </c>
      <c r="V340" s="9"/>
      <c r="W340" s="9"/>
      <c r="X340" s="12">
        <v>1</v>
      </c>
      <c r="Y340" s="1"/>
      <c r="Z340" s="25"/>
      <c r="AA340" s="12"/>
    </row>
    <row r="341" spans="1:27" ht="18" x14ac:dyDescent="0.45">
      <c r="A341" s="5">
        <v>339</v>
      </c>
      <c r="B341" s="7">
        <v>222403</v>
      </c>
      <c r="C341" s="13" t="s">
        <v>343</v>
      </c>
      <c r="D341" s="36" t="s">
        <v>64</v>
      </c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9">
        <v>0.25</v>
      </c>
      <c r="V341" s="9"/>
      <c r="W341" s="9"/>
      <c r="X341" s="5">
        <v>1</v>
      </c>
      <c r="Y341" s="1"/>
      <c r="Z341" s="25"/>
      <c r="AA341" s="12"/>
    </row>
    <row r="342" spans="1:27" ht="18" x14ac:dyDescent="0.45">
      <c r="A342" s="5">
        <v>340</v>
      </c>
      <c r="B342" s="7">
        <v>222401</v>
      </c>
      <c r="C342" s="13" t="s">
        <v>344</v>
      </c>
      <c r="D342" s="36" t="s">
        <v>64</v>
      </c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9">
        <v>0.16666666666666666</v>
      </c>
      <c r="V342" s="9"/>
      <c r="W342" s="9"/>
      <c r="X342" s="5">
        <v>1</v>
      </c>
      <c r="Y342" s="1"/>
      <c r="Z342" s="25"/>
      <c r="AA342" s="12"/>
    </row>
    <row r="343" spans="1:27" ht="18" x14ac:dyDescent="0.45">
      <c r="A343" s="5">
        <v>341</v>
      </c>
      <c r="B343" s="7">
        <v>222471</v>
      </c>
      <c r="C343" s="2" t="s">
        <v>345</v>
      </c>
      <c r="D343" s="36" t="s">
        <v>64</v>
      </c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9"/>
      <c r="V343" s="9"/>
      <c r="W343" s="9"/>
      <c r="X343" s="5"/>
      <c r="Y343" s="1"/>
      <c r="Z343" s="25"/>
      <c r="AA343" s="28"/>
    </row>
    <row r="344" spans="1:27" ht="18" x14ac:dyDescent="0.45">
      <c r="A344" s="5">
        <v>342</v>
      </c>
      <c r="B344" s="7">
        <v>222495</v>
      </c>
      <c r="C344" s="2" t="s">
        <v>626</v>
      </c>
      <c r="D344" s="36" t="s">
        <v>64</v>
      </c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9">
        <v>0.16666666666666666</v>
      </c>
      <c r="V344" s="9"/>
      <c r="W344" s="9"/>
      <c r="X344" s="5">
        <v>1</v>
      </c>
      <c r="Y344" s="1"/>
      <c r="Z344" s="25"/>
      <c r="AA344" s="12"/>
    </row>
    <row r="345" spans="1:27" ht="18" x14ac:dyDescent="0.45">
      <c r="A345" s="5">
        <v>343</v>
      </c>
      <c r="B345" s="7">
        <v>222493</v>
      </c>
      <c r="C345" s="2" t="s">
        <v>628</v>
      </c>
      <c r="D345" s="36" t="s">
        <v>64</v>
      </c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9">
        <v>0.16666666666666666</v>
      </c>
      <c r="V345" s="9"/>
      <c r="W345" s="9"/>
      <c r="X345" s="5">
        <v>1</v>
      </c>
      <c r="Y345" s="1"/>
      <c r="Z345" s="25"/>
      <c r="AA345" s="12"/>
    </row>
    <row r="346" spans="1:27" ht="18" x14ac:dyDescent="0.45">
      <c r="A346" s="5">
        <v>344</v>
      </c>
      <c r="B346" s="7">
        <v>222491</v>
      </c>
      <c r="C346" s="2" t="s">
        <v>629</v>
      </c>
      <c r="D346" s="36" t="s">
        <v>64</v>
      </c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9">
        <v>0.16666666666666666</v>
      </c>
      <c r="V346" s="9"/>
      <c r="W346" s="9"/>
      <c r="X346" s="5">
        <v>1</v>
      </c>
      <c r="Y346" s="1"/>
      <c r="Z346" s="25"/>
      <c r="AA346" s="12"/>
    </row>
    <row r="347" spans="1:27" ht="18" x14ac:dyDescent="0.45">
      <c r="A347" s="5">
        <v>345</v>
      </c>
      <c r="B347" s="7">
        <v>222471</v>
      </c>
      <c r="C347" s="2" t="s">
        <v>345</v>
      </c>
      <c r="D347" s="36" t="s">
        <v>64</v>
      </c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9"/>
      <c r="V347" s="9"/>
      <c r="W347" s="9"/>
      <c r="X347" s="5"/>
      <c r="Y347" s="1"/>
      <c r="Z347" s="25"/>
      <c r="AA347" s="28"/>
    </row>
    <row r="348" spans="1:27" ht="18" x14ac:dyDescent="0.45">
      <c r="A348" s="5">
        <v>346</v>
      </c>
      <c r="B348" s="7">
        <v>222415</v>
      </c>
      <c r="C348" s="13" t="s">
        <v>347</v>
      </c>
      <c r="D348" s="36" t="s">
        <v>64</v>
      </c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9">
        <v>0.25</v>
      </c>
      <c r="V348" s="9"/>
      <c r="W348" s="9"/>
      <c r="X348" s="5">
        <v>2</v>
      </c>
      <c r="Y348" s="1"/>
      <c r="Z348" s="25"/>
      <c r="AA348" s="12"/>
    </row>
    <row r="349" spans="1:27" ht="18" x14ac:dyDescent="0.45">
      <c r="A349" s="5">
        <v>347</v>
      </c>
      <c r="B349" s="7">
        <v>222413</v>
      </c>
      <c r="C349" s="13" t="s">
        <v>349</v>
      </c>
      <c r="D349" s="36" t="s">
        <v>64</v>
      </c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9">
        <v>0.25</v>
      </c>
      <c r="V349" s="9"/>
      <c r="W349" s="9"/>
      <c r="X349" s="5">
        <v>2</v>
      </c>
      <c r="Y349" s="1"/>
      <c r="Z349" s="25"/>
      <c r="AA349" s="12"/>
    </row>
    <row r="350" spans="1:27" ht="18" x14ac:dyDescent="0.45">
      <c r="A350" s="5">
        <v>348</v>
      </c>
      <c r="B350" s="7">
        <v>222411</v>
      </c>
      <c r="C350" s="13" t="s">
        <v>350</v>
      </c>
      <c r="D350" s="36" t="s">
        <v>64</v>
      </c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9">
        <v>0.25</v>
      </c>
      <c r="V350" s="9"/>
      <c r="W350" s="9"/>
      <c r="X350" s="5">
        <v>2</v>
      </c>
      <c r="Y350" s="1"/>
      <c r="Z350" s="25"/>
      <c r="AA350" s="12"/>
    </row>
    <row r="351" spans="1:27" ht="18" x14ac:dyDescent="0.45">
      <c r="A351" s="5">
        <v>349</v>
      </c>
      <c r="B351" s="7">
        <v>222472</v>
      </c>
      <c r="C351" s="13" t="s">
        <v>351</v>
      </c>
      <c r="D351" s="36" t="s">
        <v>64</v>
      </c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9"/>
      <c r="V351" s="9"/>
      <c r="W351" s="9"/>
      <c r="X351" s="5"/>
      <c r="Y351" s="1"/>
      <c r="Z351" s="25"/>
      <c r="AA351" s="12"/>
    </row>
    <row r="352" spans="1:27" ht="18" x14ac:dyDescent="0.45">
      <c r="A352" s="5">
        <v>350</v>
      </c>
      <c r="B352" s="7">
        <v>222561</v>
      </c>
      <c r="C352" s="2" t="s">
        <v>632</v>
      </c>
      <c r="D352" s="36" t="s">
        <v>64</v>
      </c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9"/>
      <c r="V352" s="9"/>
      <c r="W352" s="9"/>
      <c r="X352" s="5"/>
      <c r="Y352" s="1"/>
      <c r="Z352" s="25"/>
      <c r="AA352" s="12"/>
    </row>
    <row r="353" spans="1:27" ht="18" x14ac:dyDescent="0.45">
      <c r="A353" s="5">
        <v>351</v>
      </c>
      <c r="B353" s="7">
        <v>222563</v>
      </c>
      <c r="C353" s="13" t="s">
        <v>634</v>
      </c>
      <c r="D353" s="36" t="s">
        <v>64</v>
      </c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9"/>
      <c r="V353" s="9"/>
      <c r="W353" s="9"/>
      <c r="X353" s="5"/>
      <c r="Y353" s="1"/>
      <c r="Z353" s="25"/>
      <c r="AA353" s="12"/>
    </row>
    <row r="354" spans="1:27" ht="18" x14ac:dyDescent="0.45">
      <c r="A354" s="5">
        <v>352</v>
      </c>
      <c r="B354" s="7">
        <v>222521</v>
      </c>
      <c r="C354" s="2" t="s">
        <v>361</v>
      </c>
      <c r="D354" s="36" t="s">
        <v>64</v>
      </c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9">
        <v>0.66666666666666663</v>
      </c>
      <c r="V354" s="9"/>
      <c r="W354" s="9"/>
      <c r="X354" s="5">
        <v>1</v>
      </c>
      <c r="Y354" s="1"/>
      <c r="Z354" s="25"/>
      <c r="AA354" s="12"/>
    </row>
    <row r="355" spans="1:27" ht="18" x14ac:dyDescent="0.45">
      <c r="A355" s="5">
        <v>353</v>
      </c>
      <c r="B355" s="7">
        <v>222501</v>
      </c>
      <c r="C355" s="13" t="s">
        <v>363</v>
      </c>
      <c r="D355" s="36" t="s">
        <v>64</v>
      </c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9">
        <v>1</v>
      </c>
      <c r="V355" s="9"/>
      <c r="W355" s="9"/>
      <c r="X355" s="5">
        <v>1</v>
      </c>
      <c r="Y355" s="1"/>
      <c r="Z355" s="25"/>
      <c r="AA355" s="12"/>
    </row>
    <row r="356" spans="1:27" ht="18" x14ac:dyDescent="0.2">
      <c r="A356" s="5">
        <v>354</v>
      </c>
      <c r="B356" s="7">
        <v>222174</v>
      </c>
      <c r="C356" s="22" t="s">
        <v>613</v>
      </c>
      <c r="D356" s="36" t="s">
        <v>64</v>
      </c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9"/>
      <c r="V356" s="9"/>
      <c r="W356" s="9"/>
      <c r="X356" s="5">
        <v>1</v>
      </c>
      <c r="Y356" s="1"/>
      <c r="Z356" s="25"/>
      <c r="AA356" s="11"/>
    </row>
    <row r="357" spans="1:27" ht="18" x14ac:dyDescent="0.45">
      <c r="A357" s="5">
        <v>355</v>
      </c>
      <c r="B357" s="7">
        <v>222715</v>
      </c>
      <c r="C357" s="2" t="s">
        <v>638</v>
      </c>
      <c r="D357" s="36" t="s">
        <v>64</v>
      </c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9"/>
      <c r="V357" s="9"/>
      <c r="W357" s="9"/>
      <c r="X357" s="5"/>
      <c r="Y357" s="1"/>
      <c r="Z357" s="25"/>
      <c r="AA357" s="12"/>
    </row>
    <row r="358" spans="1:27" ht="18" x14ac:dyDescent="0.45">
      <c r="A358" s="5">
        <v>356</v>
      </c>
      <c r="B358" s="7">
        <v>222711</v>
      </c>
      <c r="C358" s="2" t="s">
        <v>639</v>
      </c>
      <c r="D358" s="36" t="s">
        <v>64</v>
      </c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9"/>
      <c r="V358" s="9"/>
      <c r="W358" s="9"/>
      <c r="X358" s="5"/>
      <c r="Y358" s="1"/>
      <c r="Z358" s="25"/>
      <c r="AA358" s="12"/>
    </row>
    <row r="359" spans="1:27" ht="18" x14ac:dyDescent="0.45">
      <c r="A359" s="5">
        <v>357</v>
      </c>
      <c r="B359" s="7">
        <v>222705</v>
      </c>
      <c r="C359" s="2" t="s">
        <v>640</v>
      </c>
      <c r="D359" s="36" t="s">
        <v>64</v>
      </c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9"/>
      <c r="V359" s="9"/>
      <c r="W359" s="9"/>
      <c r="X359" s="5"/>
      <c r="Y359" s="1"/>
      <c r="Z359" s="25"/>
      <c r="AA359" s="12"/>
    </row>
    <row r="360" spans="1:27" ht="18" x14ac:dyDescent="0.45">
      <c r="A360" s="5">
        <v>358</v>
      </c>
      <c r="B360" s="7">
        <v>222701</v>
      </c>
      <c r="C360" s="2" t="s">
        <v>641</v>
      </c>
      <c r="D360" s="36" t="s">
        <v>64</v>
      </c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9"/>
      <c r="V360" s="9"/>
      <c r="W360" s="9"/>
      <c r="X360" s="5"/>
      <c r="Y360" s="1"/>
      <c r="Z360" s="25"/>
      <c r="AA360" s="12"/>
    </row>
    <row r="361" spans="1:27" ht="18" x14ac:dyDescent="0.45">
      <c r="A361" s="5">
        <v>359</v>
      </c>
      <c r="B361" s="7">
        <v>222621</v>
      </c>
      <c r="C361" s="13" t="s">
        <v>642</v>
      </c>
      <c r="D361" s="36" t="s">
        <v>64</v>
      </c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9"/>
      <c r="V361" s="9"/>
      <c r="W361" s="9"/>
      <c r="X361" s="5"/>
      <c r="Y361" s="1"/>
      <c r="Z361" s="25"/>
      <c r="AA361" s="12"/>
    </row>
    <row r="362" spans="1:27" ht="18" x14ac:dyDescent="0.45">
      <c r="A362" s="5">
        <v>360</v>
      </c>
      <c r="B362" s="7">
        <v>222611</v>
      </c>
      <c r="C362" s="2" t="s">
        <v>644</v>
      </c>
      <c r="D362" s="36" t="s">
        <v>64</v>
      </c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9"/>
      <c r="V362" s="9"/>
      <c r="W362" s="9"/>
      <c r="X362" s="5"/>
      <c r="Y362" s="1"/>
      <c r="Z362" s="25"/>
      <c r="AA362" s="12"/>
    </row>
    <row r="363" spans="1:27" ht="18" x14ac:dyDescent="0.45">
      <c r="A363" s="5">
        <v>361</v>
      </c>
      <c r="B363" s="7">
        <v>222641</v>
      </c>
      <c r="C363" s="13" t="s">
        <v>646</v>
      </c>
      <c r="D363" s="36" t="s">
        <v>64</v>
      </c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9"/>
      <c r="V363" s="9"/>
      <c r="W363" s="9"/>
      <c r="X363" s="5"/>
      <c r="Y363" s="1"/>
      <c r="Z363" s="25"/>
      <c r="AA363" s="12"/>
    </row>
    <row r="364" spans="1:27" ht="18" x14ac:dyDescent="0.45">
      <c r="A364" s="5">
        <v>362</v>
      </c>
      <c r="B364" s="7">
        <v>222173</v>
      </c>
      <c r="C364" s="2" t="s">
        <v>648</v>
      </c>
      <c r="D364" s="36" t="s">
        <v>64</v>
      </c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9"/>
      <c r="V364" s="9"/>
      <c r="W364" s="9"/>
      <c r="X364" s="5">
        <v>1</v>
      </c>
      <c r="Y364" s="1"/>
      <c r="Z364" s="25"/>
      <c r="AA364" s="12"/>
    </row>
    <row r="365" spans="1:27" ht="18" x14ac:dyDescent="0.45">
      <c r="A365" s="5">
        <v>363</v>
      </c>
      <c r="B365" s="7" t="s">
        <v>624</v>
      </c>
      <c r="C365" s="13" t="s">
        <v>341</v>
      </c>
      <c r="D365" s="36" t="s">
        <v>108</v>
      </c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9">
        <v>0.29166666666666669</v>
      </c>
      <c r="V365" s="9"/>
      <c r="W365" s="9"/>
      <c r="X365" s="12">
        <v>1</v>
      </c>
      <c r="Y365" s="1"/>
      <c r="Z365" s="25" t="s">
        <v>1277</v>
      </c>
      <c r="AA365" s="12"/>
    </row>
    <row r="366" spans="1:27" ht="18" x14ac:dyDescent="0.45">
      <c r="A366" s="5">
        <v>364</v>
      </c>
      <c r="B366" s="7">
        <v>224403</v>
      </c>
      <c r="C366" s="13" t="s">
        <v>343</v>
      </c>
      <c r="D366" s="36" t="s">
        <v>108</v>
      </c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9">
        <v>0.25</v>
      </c>
      <c r="V366" s="9"/>
      <c r="W366" s="9"/>
      <c r="X366" s="5">
        <v>1</v>
      </c>
      <c r="Y366" s="1"/>
      <c r="Z366" s="25"/>
      <c r="AA366" s="12"/>
    </row>
    <row r="367" spans="1:27" ht="18" x14ac:dyDescent="0.45">
      <c r="A367" s="5">
        <v>365</v>
      </c>
      <c r="B367" s="7">
        <v>224401</v>
      </c>
      <c r="C367" s="13" t="s">
        <v>344</v>
      </c>
      <c r="D367" s="36" t="s">
        <v>108</v>
      </c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9">
        <v>0.16666666666666666</v>
      </c>
      <c r="V367" s="9"/>
      <c r="W367" s="9"/>
      <c r="X367" s="5">
        <v>1</v>
      </c>
      <c r="Y367" s="1"/>
      <c r="Z367" s="25" t="s">
        <v>1278</v>
      </c>
      <c r="AA367" s="12"/>
    </row>
    <row r="368" spans="1:27" ht="18" x14ac:dyDescent="0.45">
      <c r="A368" s="5">
        <v>366</v>
      </c>
      <c r="B368" s="7" t="s">
        <v>625</v>
      </c>
      <c r="C368" s="2" t="s">
        <v>345</v>
      </c>
      <c r="D368" s="36" t="s">
        <v>108</v>
      </c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9"/>
      <c r="V368" s="9"/>
      <c r="W368" s="9"/>
      <c r="X368" s="5"/>
      <c r="Y368" s="1"/>
      <c r="Z368" s="25"/>
      <c r="AA368" s="28"/>
    </row>
    <row r="369" spans="1:27" ht="18" x14ac:dyDescent="0.45">
      <c r="A369" s="5">
        <v>367</v>
      </c>
      <c r="B369" s="7" t="s">
        <v>627</v>
      </c>
      <c r="C369" s="2" t="s">
        <v>626</v>
      </c>
      <c r="D369" s="36" t="s">
        <v>108</v>
      </c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9">
        <v>0.16666666666666666</v>
      </c>
      <c r="V369" s="9"/>
      <c r="W369" s="9"/>
      <c r="X369" s="5">
        <v>1</v>
      </c>
      <c r="Y369" s="1">
        <v>9</v>
      </c>
      <c r="Z369" s="25"/>
      <c r="AA369" s="12"/>
    </row>
    <row r="370" spans="1:27" ht="18" x14ac:dyDescent="0.45">
      <c r="A370" s="5">
        <v>368</v>
      </c>
      <c r="B370" s="7">
        <v>224493</v>
      </c>
      <c r="C370" s="2" t="s">
        <v>628</v>
      </c>
      <c r="D370" s="36" t="s">
        <v>108</v>
      </c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9">
        <v>0.16666666666666666</v>
      </c>
      <c r="V370" s="9"/>
      <c r="W370" s="9"/>
      <c r="X370" s="5">
        <v>1</v>
      </c>
      <c r="Y370" s="1">
        <v>9</v>
      </c>
      <c r="Z370" s="25">
        <v>23</v>
      </c>
      <c r="AA370" s="12"/>
    </row>
    <row r="371" spans="1:27" ht="18" x14ac:dyDescent="0.45">
      <c r="A371" s="5">
        <v>369</v>
      </c>
      <c r="B371" s="7">
        <v>224491</v>
      </c>
      <c r="C371" s="2" t="s">
        <v>629</v>
      </c>
      <c r="D371" s="36" t="s">
        <v>108</v>
      </c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9">
        <v>0.16666666666666666</v>
      </c>
      <c r="V371" s="9"/>
      <c r="W371" s="9"/>
      <c r="X371" s="5">
        <v>1</v>
      </c>
      <c r="Y371" s="1">
        <v>9</v>
      </c>
      <c r="Z371" s="25"/>
      <c r="AA371" s="12"/>
    </row>
    <row r="372" spans="1:27" ht="18" x14ac:dyDescent="0.45">
      <c r="A372" s="5">
        <v>370</v>
      </c>
      <c r="B372" s="7" t="s">
        <v>625</v>
      </c>
      <c r="C372" s="2" t="s">
        <v>345</v>
      </c>
      <c r="D372" s="36" t="s">
        <v>108</v>
      </c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9"/>
      <c r="V372" s="9"/>
      <c r="W372" s="9"/>
      <c r="X372" s="5"/>
      <c r="Y372" s="1"/>
      <c r="Z372" s="25"/>
      <c r="AA372" s="28"/>
    </row>
    <row r="373" spans="1:27" ht="18" x14ac:dyDescent="0.45">
      <c r="A373" s="5">
        <v>371</v>
      </c>
      <c r="B373" s="7" t="s">
        <v>630</v>
      </c>
      <c r="C373" s="13" t="s">
        <v>347</v>
      </c>
      <c r="D373" s="36" t="s">
        <v>108</v>
      </c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9">
        <v>0.25</v>
      </c>
      <c r="V373" s="9"/>
      <c r="W373" s="9"/>
      <c r="X373" s="5">
        <v>1</v>
      </c>
      <c r="Y373" s="1"/>
      <c r="Z373" s="25"/>
      <c r="AA373" s="12"/>
    </row>
    <row r="374" spans="1:27" ht="18" x14ac:dyDescent="0.45">
      <c r="A374" s="5">
        <v>372</v>
      </c>
      <c r="B374" s="7">
        <v>224413</v>
      </c>
      <c r="C374" s="13" t="s">
        <v>349</v>
      </c>
      <c r="D374" s="36" t="s">
        <v>108</v>
      </c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9">
        <v>0.25</v>
      </c>
      <c r="V374" s="9"/>
      <c r="W374" s="9"/>
      <c r="X374" s="5">
        <v>1</v>
      </c>
      <c r="Y374" s="1"/>
      <c r="Z374" s="25"/>
      <c r="AA374" s="12"/>
    </row>
    <row r="375" spans="1:27" ht="18" x14ac:dyDescent="0.45">
      <c r="A375" s="5">
        <v>373</v>
      </c>
      <c r="B375" s="7">
        <v>224411</v>
      </c>
      <c r="C375" s="13" t="s">
        <v>350</v>
      </c>
      <c r="D375" s="36" t="s">
        <v>108</v>
      </c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9">
        <v>0.25</v>
      </c>
      <c r="V375" s="9"/>
      <c r="W375" s="9"/>
      <c r="X375" s="5">
        <v>1</v>
      </c>
      <c r="Y375" s="1"/>
      <c r="Z375" s="25"/>
      <c r="AA375" s="12"/>
    </row>
    <row r="376" spans="1:27" ht="18" x14ac:dyDescent="0.45">
      <c r="A376" s="5">
        <v>374</v>
      </c>
      <c r="B376" s="7" t="s">
        <v>631</v>
      </c>
      <c r="C376" s="13" t="s">
        <v>351</v>
      </c>
      <c r="D376" s="36" t="s">
        <v>108</v>
      </c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9"/>
      <c r="V376" s="9"/>
      <c r="W376" s="9"/>
      <c r="X376" s="5"/>
      <c r="Y376" s="1"/>
      <c r="Z376" s="25"/>
      <c r="AA376" s="12"/>
    </row>
    <row r="377" spans="1:27" ht="18" x14ac:dyDescent="0.45">
      <c r="A377" s="5">
        <v>375</v>
      </c>
      <c r="B377" s="7" t="s">
        <v>633</v>
      </c>
      <c r="C377" s="2" t="s">
        <v>632</v>
      </c>
      <c r="D377" s="36" t="s">
        <v>108</v>
      </c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9"/>
      <c r="V377" s="9"/>
      <c r="W377" s="9"/>
      <c r="X377" s="5"/>
      <c r="Y377" s="1"/>
      <c r="Z377" s="25"/>
      <c r="AA377" s="12"/>
    </row>
    <row r="378" spans="1:27" ht="18" x14ac:dyDescent="0.45">
      <c r="A378" s="5">
        <v>376</v>
      </c>
      <c r="B378" s="7" t="s">
        <v>635</v>
      </c>
      <c r="C378" s="13" t="s">
        <v>634</v>
      </c>
      <c r="D378" s="36" t="s">
        <v>108</v>
      </c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9"/>
      <c r="V378" s="9"/>
      <c r="W378" s="9"/>
      <c r="X378" s="5"/>
      <c r="Y378" s="1"/>
      <c r="Z378" s="25"/>
      <c r="AA378" s="12"/>
    </row>
    <row r="379" spans="1:27" ht="18" x14ac:dyDescent="0.45">
      <c r="A379" s="5">
        <v>377</v>
      </c>
      <c r="B379" s="7" t="s">
        <v>636</v>
      </c>
      <c r="C379" s="2" t="s">
        <v>361</v>
      </c>
      <c r="D379" s="36" t="s">
        <v>108</v>
      </c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9">
        <v>0.66666666666666663</v>
      </c>
      <c r="V379" s="9"/>
      <c r="W379" s="9"/>
      <c r="X379" s="5">
        <v>1</v>
      </c>
      <c r="Y379" s="1">
        <v>4</v>
      </c>
      <c r="Z379" s="25">
        <v>62.3</v>
      </c>
      <c r="AA379" s="12"/>
    </row>
    <row r="380" spans="1:27" ht="18" x14ac:dyDescent="0.45">
      <c r="A380" s="5">
        <v>378</v>
      </c>
      <c r="B380" s="7" t="s">
        <v>637</v>
      </c>
      <c r="C380" s="13" t="s">
        <v>363</v>
      </c>
      <c r="D380" s="36" t="s">
        <v>108</v>
      </c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9">
        <v>1</v>
      </c>
      <c r="V380" s="9"/>
      <c r="W380" s="9"/>
      <c r="X380" s="5">
        <v>1</v>
      </c>
      <c r="Y380" s="1"/>
      <c r="Z380" s="25">
        <v>79.8</v>
      </c>
      <c r="AA380" s="12"/>
    </row>
    <row r="381" spans="1:27" ht="18" x14ac:dyDescent="0.2">
      <c r="A381" s="5">
        <v>379</v>
      </c>
      <c r="B381" s="7">
        <v>224174</v>
      </c>
      <c r="C381" s="22" t="s">
        <v>613</v>
      </c>
      <c r="D381" s="36" t="s">
        <v>108</v>
      </c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9">
        <v>0.125</v>
      </c>
      <c r="V381" s="9"/>
      <c r="W381" s="9"/>
      <c r="X381" s="5">
        <v>1</v>
      </c>
      <c r="Y381" s="1">
        <v>3</v>
      </c>
      <c r="Z381" s="25">
        <v>20.5</v>
      </c>
      <c r="AA381" s="11"/>
    </row>
    <row r="382" spans="1:27" ht="18" x14ac:dyDescent="0.45">
      <c r="A382" s="5">
        <v>380</v>
      </c>
      <c r="B382" s="7">
        <v>224715</v>
      </c>
      <c r="C382" s="2" t="s">
        <v>638</v>
      </c>
      <c r="D382" s="36" t="s">
        <v>108</v>
      </c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9"/>
      <c r="V382" s="9"/>
      <c r="W382" s="9"/>
      <c r="X382" s="5"/>
      <c r="Y382" s="1"/>
      <c r="Z382" s="25"/>
      <c r="AA382" s="12"/>
    </row>
    <row r="383" spans="1:27" ht="18" x14ac:dyDescent="0.45">
      <c r="A383" s="5">
        <v>381</v>
      </c>
      <c r="B383" s="7">
        <v>224711</v>
      </c>
      <c r="C383" s="2" t="s">
        <v>639</v>
      </c>
      <c r="D383" s="36" t="s">
        <v>108</v>
      </c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9"/>
      <c r="V383" s="9"/>
      <c r="W383" s="9"/>
      <c r="X383" s="5"/>
      <c r="Y383" s="1"/>
      <c r="Z383" s="25"/>
      <c r="AA383" s="12"/>
    </row>
    <row r="384" spans="1:27" ht="18" x14ac:dyDescent="0.45">
      <c r="A384" s="5">
        <v>382</v>
      </c>
      <c r="B384" s="7">
        <v>224705</v>
      </c>
      <c r="C384" s="2" t="s">
        <v>640</v>
      </c>
      <c r="D384" s="36" t="s">
        <v>108</v>
      </c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9"/>
      <c r="V384" s="9"/>
      <c r="W384" s="9"/>
      <c r="X384" s="5"/>
      <c r="Y384" s="1"/>
      <c r="Z384" s="25"/>
      <c r="AA384" s="12"/>
    </row>
    <row r="385" spans="1:27" ht="18" x14ac:dyDescent="0.45">
      <c r="A385" s="5">
        <v>383</v>
      </c>
      <c r="B385" s="7">
        <v>224701</v>
      </c>
      <c r="C385" s="2" t="s">
        <v>641</v>
      </c>
      <c r="D385" s="36" t="s">
        <v>108</v>
      </c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9"/>
      <c r="V385" s="9"/>
      <c r="W385" s="9"/>
      <c r="X385" s="5"/>
      <c r="Y385" s="1"/>
      <c r="Z385" s="25"/>
      <c r="AA385" s="12"/>
    </row>
    <row r="386" spans="1:27" ht="18" x14ac:dyDescent="0.45">
      <c r="A386" s="5">
        <v>384</v>
      </c>
      <c r="B386" s="7" t="s">
        <v>643</v>
      </c>
      <c r="C386" s="13" t="s">
        <v>642</v>
      </c>
      <c r="D386" s="36" t="s">
        <v>108</v>
      </c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9">
        <v>0.25</v>
      </c>
      <c r="V386" s="9"/>
      <c r="W386" s="9"/>
      <c r="X386" s="5">
        <v>1</v>
      </c>
      <c r="Y386" s="1"/>
      <c r="Z386" s="25">
        <v>19</v>
      </c>
      <c r="AA386" s="12"/>
    </row>
    <row r="387" spans="1:27" ht="18" x14ac:dyDescent="0.45">
      <c r="A387" s="5">
        <v>385</v>
      </c>
      <c r="B387" s="7" t="s">
        <v>645</v>
      </c>
      <c r="C387" s="2" t="s">
        <v>644</v>
      </c>
      <c r="D387" s="36" t="s">
        <v>108</v>
      </c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9"/>
      <c r="V387" s="9"/>
      <c r="W387" s="9"/>
      <c r="X387" s="5"/>
      <c r="Y387" s="1"/>
      <c r="Z387" s="25"/>
      <c r="AA387" s="12"/>
    </row>
    <row r="388" spans="1:27" ht="18" x14ac:dyDescent="0.45">
      <c r="A388" s="5">
        <v>386</v>
      </c>
      <c r="B388" s="7" t="s">
        <v>647</v>
      </c>
      <c r="C388" s="13" t="s">
        <v>646</v>
      </c>
      <c r="D388" s="36" t="s">
        <v>108</v>
      </c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9"/>
      <c r="V388" s="9"/>
      <c r="W388" s="9"/>
      <c r="X388" s="5"/>
      <c r="Y388" s="1"/>
      <c r="Z388" s="25"/>
      <c r="AA388" s="12"/>
    </row>
    <row r="389" spans="1:27" ht="18" x14ac:dyDescent="0.45">
      <c r="A389" s="5">
        <v>387</v>
      </c>
      <c r="B389" s="7" t="s">
        <v>649</v>
      </c>
      <c r="C389" s="2" t="s">
        <v>648</v>
      </c>
      <c r="D389" s="36" t="s">
        <v>108</v>
      </c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9"/>
      <c r="V389" s="9"/>
      <c r="W389" s="9"/>
      <c r="X389" s="5">
        <v>1</v>
      </c>
      <c r="Y389" s="1"/>
      <c r="Z389" s="25"/>
      <c r="AA389" s="12"/>
    </row>
    <row r="390" spans="1:27" ht="36" x14ac:dyDescent="0.45">
      <c r="A390" s="5">
        <v>388</v>
      </c>
      <c r="B390" s="7">
        <v>202101</v>
      </c>
      <c r="C390" s="13" t="s">
        <v>380</v>
      </c>
      <c r="D390" s="36" t="s">
        <v>28</v>
      </c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9"/>
      <c r="V390" s="9"/>
      <c r="W390" s="9"/>
      <c r="X390" s="5">
        <v>3</v>
      </c>
      <c r="Y390" s="1"/>
      <c r="Z390" s="25"/>
      <c r="AA390" s="11"/>
    </row>
    <row r="391" spans="1:27" ht="18" x14ac:dyDescent="0.45">
      <c r="A391" s="5">
        <v>389</v>
      </c>
      <c r="B391" s="7" t="s">
        <v>617</v>
      </c>
      <c r="C391" s="2" t="s">
        <v>22</v>
      </c>
      <c r="D391" s="36" t="s">
        <v>28</v>
      </c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9"/>
      <c r="V391" s="9"/>
      <c r="W391" s="9"/>
      <c r="X391" s="5">
        <v>1</v>
      </c>
      <c r="Y391" s="5"/>
      <c r="Z391" s="25"/>
      <c r="AA391" s="12"/>
    </row>
    <row r="392" spans="1:27" ht="18" x14ac:dyDescent="0.45">
      <c r="A392" s="5">
        <v>390</v>
      </c>
      <c r="B392" s="7" t="s">
        <v>650</v>
      </c>
      <c r="C392" s="2" t="s">
        <v>3</v>
      </c>
      <c r="D392" s="36" t="s">
        <v>28</v>
      </c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9">
        <v>0.27083333333333331</v>
      </c>
      <c r="V392" s="9"/>
      <c r="W392" s="9"/>
      <c r="X392" s="5">
        <v>1</v>
      </c>
      <c r="Y392" s="5">
        <v>2</v>
      </c>
      <c r="Z392" s="25">
        <v>20.9</v>
      </c>
      <c r="AA392" s="12"/>
    </row>
    <row r="393" spans="1:27" ht="18" x14ac:dyDescent="0.45">
      <c r="A393" s="5">
        <v>391</v>
      </c>
      <c r="B393" s="7" t="s">
        <v>651</v>
      </c>
      <c r="C393" s="2" t="s">
        <v>341</v>
      </c>
      <c r="D393" s="36" t="s">
        <v>28</v>
      </c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9">
        <v>0.25</v>
      </c>
      <c r="V393" s="9"/>
      <c r="W393" s="9"/>
      <c r="X393" s="12">
        <v>1</v>
      </c>
      <c r="Y393" s="5"/>
      <c r="Z393" s="25">
        <v>31.6</v>
      </c>
      <c r="AA393" s="12"/>
    </row>
    <row r="394" spans="1:27" ht="18" x14ac:dyDescent="0.45">
      <c r="A394" s="5">
        <v>392</v>
      </c>
      <c r="B394" s="7">
        <v>202403</v>
      </c>
      <c r="C394" s="2" t="s">
        <v>343</v>
      </c>
      <c r="D394" s="36" t="s">
        <v>28</v>
      </c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9"/>
      <c r="V394" s="9"/>
      <c r="W394" s="9"/>
      <c r="X394" s="5">
        <v>1</v>
      </c>
      <c r="Y394" s="5"/>
      <c r="Z394" s="25"/>
      <c r="AA394" s="12"/>
    </row>
    <row r="395" spans="1:27" ht="18" x14ac:dyDescent="0.45">
      <c r="A395" s="5">
        <v>393</v>
      </c>
      <c r="B395" s="7">
        <v>202401</v>
      </c>
      <c r="C395" s="2" t="s">
        <v>344</v>
      </c>
      <c r="D395" s="36" t="s">
        <v>28</v>
      </c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9"/>
      <c r="V395" s="9"/>
      <c r="W395" s="9"/>
      <c r="X395" s="5">
        <v>1</v>
      </c>
      <c r="Y395" s="5"/>
      <c r="Z395" s="25"/>
      <c r="AA395" s="12"/>
    </row>
    <row r="396" spans="1:27" ht="18" x14ac:dyDescent="0.45">
      <c r="A396" s="5">
        <v>394</v>
      </c>
      <c r="B396" s="7" t="s">
        <v>652</v>
      </c>
      <c r="C396" s="2" t="s">
        <v>414</v>
      </c>
      <c r="D396" s="36" t="s">
        <v>28</v>
      </c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9"/>
      <c r="V396" s="9"/>
      <c r="W396" s="9"/>
      <c r="X396" s="5"/>
      <c r="Y396" s="5"/>
      <c r="Z396" s="25"/>
      <c r="AA396" s="28"/>
    </row>
    <row r="397" spans="1:27" ht="18" x14ac:dyDescent="0.2">
      <c r="A397" s="5">
        <v>395</v>
      </c>
      <c r="B397" s="7">
        <v>202174</v>
      </c>
      <c r="C397" s="22" t="s">
        <v>613</v>
      </c>
      <c r="D397" s="36" t="s">
        <v>28</v>
      </c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9"/>
      <c r="V397" s="9"/>
      <c r="W397" s="9"/>
      <c r="X397" s="5">
        <v>1</v>
      </c>
      <c r="Y397" s="5"/>
      <c r="Z397" s="25"/>
      <c r="AA397" s="11"/>
    </row>
    <row r="398" spans="1:27" ht="18" customHeight="1" x14ac:dyDescent="0.2">
      <c r="A398" s="5">
        <v>396</v>
      </c>
      <c r="B398" s="7" t="s">
        <v>654</v>
      </c>
      <c r="C398" s="29" t="s">
        <v>653</v>
      </c>
      <c r="D398" s="36" t="s">
        <v>151</v>
      </c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9"/>
      <c r="V398" s="9"/>
      <c r="W398" s="9"/>
      <c r="X398" s="5">
        <v>3</v>
      </c>
      <c r="Y398" s="5"/>
      <c r="Z398" s="25"/>
      <c r="AA398" s="16"/>
    </row>
    <row r="399" spans="1:27" ht="18" x14ac:dyDescent="0.45">
      <c r="A399" s="5">
        <v>397</v>
      </c>
      <c r="B399" s="7" t="s">
        <v>656</v>
      </c>
      <c r="C399" s="2" t="s">
        <v>655</v>
      </c>
      <c r="D399" s="36" t="s">
        <v>151</v>
      </c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9"/>
      <c r="V399" s="9"/>
      <c r="W399" s="9"/>
      <c r="X399" s="5">
        <v>1</v>
      </c>
      <c r="Y399" s="5"/>
      <c r="Z399" s="25"/>
      <c r="AA399" s="12"/>
    </row>
    <row r="400" spans="1:27" ht="18" x14ac:dyDescent="0.45">
      <c r="A400" s="5">
        <v>398</v>
      </c>
      <c r="B400" s="7" t="s">
        <v>658</v>
      </c>
      <c r="C400" s="2" t="s">
        <v>657</v>
      </c>
      <c r="D400" s="36" t="s">
        <v>151</v>
      </c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9"/>
      <c r="V400" s="9"/>
      <c r="W400" s="9"/>
      <c r="X400" s="5">
        <v>1</v>
      </c>
      <c r="Y400" s="5">
        <v>1</v>
      </c>
      <c r="Z400" s="25"/>
      <c r="AA400" s="25"/>
    </row>
    <row r="401" spans="1:27" ht="18" x14ac:dyDescent="0.45">
      <c r="A401" s="5">
        <v>399</v>
      </c>
      <c r="B401" s="7" t="s">
        <v>660</v>
      </c>
      <c r="C401" s="2" t="s">
        <v>659</v>
      </c>
      <c r="D401" s="36" t="s">
        <v>151</v>
      </c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9"/>
      <c r="V401" s="9"/>
      <c r="W401" s="9"/>
      <c r="X401" s="5">
        <v>3</v>
      </c>
      <c r="Y401" s="5">
        <v>5</v>
      </c>
      <c r="Z401" s="25"/>
      <c r="AA401" s="25"/>
    </row>
    <row r="402" spans="1:27" ht="18" customHeight="1" x14ac:dyDescent="0.2">
      <c r="A402" s="5">
        <v>400</v>
      </c>
      <c r="B402" s="7">
        <v>214101</v>
      </c>
      <c r="C402" s="29" t="s">
        <v>653</v>
      </c>
      <c r="D402" s="36" t="s">
        <v>153</v>
      </c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42">
        <v>0.375</v>
      </c>
      <c r="V402" s="42"/>
      <c r="W402" s="42"/>
      <c r="X402" s="5">
        <v>3</v>
      </c>
      <c r="Y402" s="5">
        <v>4</v>
      </c>
      <c r="Z402" s="25" t="s">
        <v>1276</v>
      </c>
      <c r="AA402" s="16"/>
    </row>
    <row r="403" spans="1:27" ht="18" x14ac:dyDescent="0.45">
      <c r="A403" s="5">
        <v>401</v>
      </c>
      <c r="B403" s="7">
        <v>214191</v>
      </c>
      <c r="C403" s="2" t="s">
        <v>655</v>
      </c>
      <c r="D403" s="36" t="s">
        <v>153</v>
      </c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9"/>
      <c r="V403" s="9"/>
      <c r="W403" s="9"/>
      <c r="X403" s="5">
        <v>1</v>
      </c>
      <c r="Y403" s="5"/>
      <c r="Z403" s="25"/>
      <c r="AA403" s="12"/>
    </row>
    <row r="404" spans="1:27" ht="18" x14ac:dyDescent="0.45">
      <c r="A404" s="5">
        <v>402</v>
      </c>
      <c r="B404" s="7">
        <v>214200</v>
      </c>
      <c r="C404" s="2" t="s">
        <v>657</v>
      </c>
      <c r="D404" s="36" t="s">
        <v>153</v>
      </c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9"/>
      <c r="V404" s="9"/>
      <c r="W404" s="9"/>
      <c r="X404" s="5">
        <v>1</v>
      </c>
      <c r="Y404" s="5">
        <v>1</v>
      </c>
      <c r="Z404" s="25"/>
      <c r="AA404" s="25"/>
    </row>
    <row r="405" spans="1:27" ht="18" x14ac:dyDescent="0.45">
      <c r="A405" s="5">
        <v>403</v>
      </c>
      <c r="B405" s="7">
        <v>214220</v>
      </c>
      <c r="C405" s="2" t="s">
        <v>659</v>
      </c>
      <c r="D405" s="36" t="s">
        <v>153</v>
      </c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9">
        <v>0.66666666666666663</v>
      </c>
      <c r="V405" s="9"/>
      <c r="W405" s="9"/>
      <c r="X405" s="5">
        <v>3</v>
      </c>
      <c r="Y405" s="5">
        <v>5</v>
      </c>
      <c r="Z405" s="25">
        <v>61.3</v>
      </c>
      <c r="AA405" s="25"/>
    </row>
    <row r="406" spans="1:27" ht="18" x14ac:dyDescent="0.45">
      <c r="A406" s="5">
        <v>404</v>
      </c>
      <c r="B406" s="7" t="s">
        <v>661</v>
      </c>
      <c r="C406" s="13" t="s">
        <v>29</v>
      </c>
      <c r="D406" s="36" t="s">
        <v>151</v>
      </c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9"/>
      <c r="V406" s="9"/>
      <c r="W406" s="9"/>
      <c r="X406" s="5">
        <v>1</v>
      </c>
      <c r="Y406" s="5">
        <v>2</v>
      </c>
      <c r="Z406" s="25"/>
      <c r="AA406" s="12"/>
    </row>
    <row r="407" spans="1:27" ht="18" x14ac:dyDescent="0.45">
      <c r="A407" s="5">
        <v>405</v>
      </c>
      <c r="B407" s="7" t="s">
        <v>662</v>
      </c>
      <c r="C407" s="13" t="s">
        <v>13</v>
      </c>
      <c r="D407" s="36" t="s">
        <v>153</v>
      </c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9">
        <v>0.25</v>
      </c>
      <c r="V407" s="9"/>
      <c r="W407" s="9"/>
      <c r="X407" s="5">
        <v>1</v>
      </c>
      <c r="Y407" s="5">
        <v>2</v>
      </c>
      <c r="Z407" s="25">
        <v>47.6</v>
      </c>
      <c r="AA407" s="12"/>
    </row>
    <row r="408" spans="1:27" ht="18" x14ac:dyDescent="0.45">
      <c r="A408" s="5">
        <v>406</v>
      </c>
      <c r="B408" s="7" t="s">
        <v>664</v>
      </c>
      <c r="C408" s="2" t="s">
        <v>663</v>
      </c>
      <c r="D408" s="36" t="s">
        <v>151</v>
      </c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9"/>
      <c r="V408" s="9"/>
      <c r="W408" s="9"/>
      <c r="X408" s="5">
        <v>1</v>
      </c>
      <c r="Y408" s="5"/>
      <c r="Z408" s="25"/>
      <c r="AA408" s="12"/>
    </row>
    <row r="409" spans="1:27" ht="18" x14ac:dyDescent="0.45">
      <c r="A409" s="5">
        <v>407</v>
      </c>
      <c r="B409" s="7">
        <v>212433</v>
      </c>
      <c r="C409" s="2" t="s">
        <v>665</v>
      </c>
      <c r="D409" s="36" t="s">
        <v>151</v>
      </c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9"/>
      <c r="V409" s="9"/>
      <c r="W409" s="9"/>
      <c r="X409" s="5">
        <v>1</v>
      </c>
      <c r="Y409" s="5"/>
      <c r="Z409" s="25"/>
      <c r="AA409" s="12"/>
    </row>
    <row r="410" spans="1:27" ht="18" x14ac:dyDescent="0.45">
      <c r="A410" s="5">
        <v>408</v>
      </c>
      <c r="B410" s="7">
        <v>212431</v>
      </c>
      <c r="C410" s="2" t="s">
        <v>666</v>
      </c>
      <c r="D410" s="36" t="s">
        <v>151</v>
      </c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9"/>
      <c r="V410" s="9"/>
      <c r="W410" s="9"/>
      <c r="X410" s="5">
        <v>1</v>
      </c>
      <c r="Y410" s="5"/>
      <c r="Z410" s="25"/>
      <c r="AA410" s="12"/>
    </row>
    <row r="411" spans="1:27" ht="18" x14ac:dyDescent="0.45">
      <c r="A411" s="5">
        <v>409</v>
      </c>
      <c r="B411" s="7" t="s">
        <v>668</v>
      </c>
      <c r="C411" s="13" t="s">
        <v>667</v>
      </c>
      <c r="D411" s="36" t="s">
        <v>151</v>
      </c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9"/>
      <c r="V411" s="9"/>
      <c r="W411" s="9"/>
      <c r="X411" s="12">
        <v>1</v>
      </c>
      <c r="Y411" s="5"/>
      <c r="Z411" s="25"/>
      <c r="AA411" s="12"/>
    </row>
    <row r="412" spans="1:27" ht="18" x14ac:dyDescent="0.45">
      <c r="A412" s="5">
        <v>410</v>
      </c>
      <c r="B412" s="7">
        <v>212403</v>
      </c>
      <c r="C412" s="13" t="s">
        <v>669</v>
      </c>
      <c r="D412" s="36" t="s">
        <v>151</v>
      </c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9"/>
      <c r="V412" s="9"/>
      <c r="W412" s="9"/>
      <c r="X412" s="5">
        <v>1</v>
      </c>
      <c r="Y412" s="5"/>
      <c r="Z412" s="25"/>
      <c r="AA412" s="12"/>
    </row>
    <row r="413" spans="1:27" ht="18" x14ac:dyDescent="0.45">
      <c r="A413" s="5">
        <v>411</v>
      </c>
      <c r="B413" s="7">
        <v>212401</v>
      </c>
      <c r="C413" s="13" t="s">
        <v>670</v>
      </c>
      <c r="D413" s="36" t="s">
        <v>151</v>
      </c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9"/>
      <c r="V413" s="9"/>
      <c r="W413" s="9"/>
      <c r="X413" s="5">
        <v>1</v>
      </c>
      <c r="Y413" s="5"/>
      <c r="Z413" s="25"/>
      <c r="AA413" s="12"/>
    </row>
    <row r="414" spans="1:27" ht="18" x14ac:dyDescent="0.45">
      <c r="A414" s="5">
        <v>412</v>
      </c>
      <c r="B414" s="7" t="s">
        <v>671</v>
      </c>
      <c r="C414" s="13" t="s">
        <v>20</v>
      </c>
      <c r="D414" s="36" t="s">
        <v>151</v>
      </c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9">
        <v>0.29166666666666669</v>
      </c>
      <c r="V414" s="9"/>
      <c r="W414" s="9"/>
      <c r="X414" s="12">
        <v>1</v>
      </c>
      <c r="Y414" s="5">
        <v>25</v>
      </c>
      <c r="Z414" s="41">
        <v>39.1</v>
      </c>
      <c r="AA414" s="12"/>
    </row>
    <row r="415" spans="1:27" ht="18" x14ac:dyDescent="0.45">
      <c r="A415" s="5">
        <v>413</v>
      </c>
      <c r="B415" s="7" t="s">
        <v>673</v>
      </c>
      <c r="C415" s="13" t="s">
        <v>672</v>
      </c>
      <c r="D415" s="36" t="s">
        <v>151</v>
      </c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9"/>
      <c r="V415" s="9"/>
      <c r="W415" s="9"/>
      <c r="X415" s="5"/>
      <c r="Y415" s="5"/>
      <c r="Z415" s="25"/>
      <c r="AA415" s="28"/>
    </row>
    <row r="416" spans="1:27" ht="18" x14ac:dyDescent="0.45">
      <c r="A416" s="5">
        <v>414</v>
      </c>
      <c r="B416" s="7" t="s">
        <v>675</v>
      </c>
      <c r="C416" s="13" t="s">
        <v>674</v>
      </c>
      <c r="D416" s="36" t="s">
        <v>151</v>
      </c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9"/>
      <c r="V416" s="9"/>
      <c r="W416" s="9"/>
      <c r="X416" s="5"/>
      <c r="Y416" s="5"/>
      <c r="Z416" s="25"/>
      <c r="AA416" s="28"/>
    </row>
    <row r="417" spans="1:27" ht="18" x14ac:dyDescent="0.45">
      <c r="A417" s="5">
        <v>415</v>
      </c>
      <c r="B417" s="7" t="s">
        <v>677</v>
      </c>
      <c r="C417" s="13" t="s">
        <v>676</v>
      </c>
      <c r="D417" s="36" t="s">
        <v>153</v>
      </c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9"/>
      <c r="V417" s="9"/>
      <c r="W417" s="9"/>
      <c r="X417" s="5"/>
      <c r="Y417" s="5"/>
      <c r="Z417" s="25"/>
      <c r="AA417" s="28"/>
    </row>
    <row r="418" spans="1:27" ht="18" x14ac:dyDescent="0.45">
      <c r="A418" s="5">
        <v>416</v>
      </c>
      <c r="B418" s="7">
        <v>212715</v>
      </c>
      <c r="C418" s="13" t="s">
        <v>606</v>
      </c>
      <c r="D418" s="36" t="s">
        <v>151</v>
      </c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9"/>
      <c r="V418" s="9"/>
      <c r="W418" s="9"/>
      <c r="X418" s="5"/>
      <c r="Y418" s="5"/>
      <c r="Z418" s="25"/>
      <c r="AA418" s="12"/>
    </row>
    <row r="419" spans="1:27" ht="18" x14ac:dyDescent="0.45">
      <c r="A419" s="5">
        <v>417</v>
      </c>
      <c r="B419" s="7">
        <v>212711</v>
      </c>
      <c r="C419" s="13" t="s">
        <v>607</v>
      </c>
      <c r="D419" s="36" t="s">
        <v>151</v>
      </c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9"/>
      <c r="V419" s="9"/>
      <c r="W419" s="9"/>
      <c r="X419" s="5"/>
      <c r="Y419" s="5"/>
      <c r="Z419" s="25"/>
      <c r="AA419" s="12"/>
    </row>
    <row r="420" spans="1:27" ht="18" x14ac:dyDescent="0.45">
      <c r="A420" s="5">
        <v>418</v>
      </c>
      <c r="B420" s="7">
        <v>212705</v>
      </c>
      <c r="C420" s="13" t="s">
        <v>678</v>
      </c>
      <c r="D420" s="36" t="s">
        <v>151</v>
      </c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9"/>
      <c r="V420" s="9"/>
      <c r="W420" s="9"/>
      <c r="X420" s="5"/>
      <c r="Y420" s="5"/>
      <c r="Z420" s="25"/>
      <c r="AA420" s="12"/>
    </row>
    <row r="421" spans="1:27" ht="18" x14ac:dyDescent="0.45">
      <c r="A421" s="5">
        <v>419</v>
      </c>
      <c r="B421" s="7">
        <v>212701</v>
      </c>
      <c r="C421" s="13" t="s">
        <v>679</v>
      </c>
      <c r="D421" s="36" t="s">
        <v>151</v>
      </c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9"/>
      <c r="V421" s="9"/>
      <c r="W421" s="9"/>
      <c r="X421" s="5"/>
      <c r="Y421" s="5"/>
      <c r="Z421" s="25"/>
      <c r="AA421" s="12"/>
    </row>
    <row r="422" spans="1:27" ht="18" x14ac:dyDescent="0.45">
      <c r="A422" s="5">
        <v>420</v>
      </c>
      <c r="B422" s="7">
        <v>214715</v>
      </c>
      <c r="C422" s="13" t="s">
        <v>606</v>
      </c>
      <c r="D422" s="36" t="s">
        <v>153</v>
      </c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9"/>
      <c r="V422" s="9"/>
      <c r="W422" s="9"/>
      <c r="X422" s="5"/>
      <c r="Y422" s="5"/>
      <c r="Z422" s="25"/>
      <c r="AA422" s="12"/>
    </row>
    <row r="423" spans="1:27" ht="18" x14ac:dyDescent="0.45">
      <c r="A423" s="5">
        <v>421</v>
      </c>
      <c r="B423" s="7">
        <v>214711</v>
      </c>
      <c r="C423" s="13" t="s">
        <v>607</v>
      </c>
      <c r="D423" s="36" t="s">
        <v>153</v>
      </c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9"/>
      <c r="V423" s="9"/>
      <c r="W423" s="9"/>
      <c r="X423" s="5"/>
      <c r="Y423" s="5"/>
      <c r="Z423" s="25"/>
      <c r="AA423" s="12"/>
    </row>
    <row r="424" spans="1:27" ht="18" x14ac:dyDescent="0.45">
      <c r="A424" s="5">
        <v>422</v>
      </c>
      <c r="B424" s="7">
        <v>214705</v>
      </c>
      <c r="C424" s="13" t="s">
        <v>678</v>
      </c>
      <c r="D424" s="36" t="s">
        <v>153</v>
      </c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9"/>
      <c r="V424" s="9"/>
      <c r="W424" s="9"/>
      <c r="X424" s="5"/>
      <c r="Y424" s="5"/>
      <c r="Z424" s="25"/>
      <c r="AA424" s="12"/>
    </row>
    <row r="425" spans="1:27" ht="18" x14ac:dyDescent="0.45">
      <c r="A425" s="5">
        <v>423</v>
      </c>
      <c r="B425" s="7">
        <v>214701</v>
      </c>
      <c r="C425" s="13" t="s">
        <v>679</v>
      </c>
      <c r="D425" s="36" t="s">
        <v>153</v>
      </c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9"/>
      <c r="V425" s="9"/>
      <c r="W425" s="9"/>
      <c r="X425" s="5"/>
      <c r="Y425" s="5"/>
      <c r="Z425" s="25"/>
      <c r="AA425" s="12"/>
    </row>
    <row r="426" spans="1:27" ht="18" x14ac:dyDescent="0.45">
      <c r="A426" s="5">
        <v>424</v>
      </c>
      <c r="B426" s="7">
        <v>0</v>
      </c>
      <c r="C426" s="3" t="s">
        <v>680</v>
      </c>
      <c r="D426" s="36" t="s">
        <v>47</v>
      </c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9"/>
      <c r="V426" s="9"/>
      <c r="W426" s="9"/>
      <c r="X426" s="5"/>
      <c r="Y426" s="5"/>
      <c r="Z426" s="25"/>
      <c r="AA426" s="12"/>
    </row>
    <row r="427" spans="1:27" ht="36" x14ac:dyDescent="0.45">
      <c r="A427" s="5">
        <v>425</v>
      </c>
      <c r="B427" s="7">
        <v>0</v>
      </c>
      <c r="C427" s="13" t="s">
        <v>681</v>
      </c>
      <c r="D427" s="36" t="s">
        <v>47</v>
      </c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9"/>
      <c r="V427" s="9"/>
      <c r="W427" s="9"/>
      <c r="X427" s="5"/>
      <c r="Y427" s="5"/>
      <c r="Z427" s="25"/>
      <c r="AA427" s="12"/>
    </row>
    <row r="428" spans="1:27" ht="18" x14ac:dyDescent="0.45">
      <c r="A428" s="5">
        <v>426</v>
      </c>
      <c r="B428" s="7">
        <v>0</v>
      </c>
      <c r="C428" s="2" t="s">
        <v>682</v>
      </c>
      <c r="D428" s="36" t="s">
        <v>47</v>
      </c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9"/>
      <c r="V428" s="9"/>
      <c r="W428" s="9"/>
      <c r="X428" s="5"/>
      <c r="Y428" s="5"/>
      <c r="Z428" s="25"/>
      <c r="AA428" s="12"/>
    </row>
    <row r="429" spans="1:27" ht="18" x14ac:dyDescent="0.45">
      <c r="A429" s="5">
        <v>427</v>
      </c>
      <c r="B429" s="7">
        <v>0</v>
      </c>
      <c r="C429" s="2" t="s">
        <v>683</v>
      </c>
      <c r="D429" s="36" t="s">
        <v>47</v>
      </c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9"/>
      <c r="V429" s="9"/>
      <c r="W429" s="9"/>
      <c r="X429" s="5"/>
      <c r="Y429" s="5"/>
      <c r="Z429" s="25"/>
      <c r="AA429" s="12"/>
    </row>
    <row r="430" spans="1:27" ht="18" x14ac:dyDescent="0.45">
      <c r="A430" s="5">
        <v>428</v>
      </c>
      <c r="B430" s="7">
        <v>0</v>
      </c>
      <c r="C430" s="2" t="s">
        <v>684</v>
      </c>
      <c r="D430" s="36" t="s">
        <v>47</v>
      </c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9"/>
      <c r="V430" s="9"/>
      <c r="W430" s="9"/>
      <c r="X430" s="5"/>
      <c r="Y430" s="5"/>
      <c r="Z430" s="25"/>
      <c r="AA430" s="12"/>
    </row>
    <row r="431" spans="1:27" ht="18" x14ac:dyDescent="0.45">
      <c r="A431" s="5">
        <v>429</v>
      </c>
      <c r="B431" s="7">
        <v>0</v>
      </c>
      <c r="C431" s="2" t="s">
        <v>685</v>
      </c>
      <c r="D431" s="36" t="s">
        <v>47</v>
      </c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9"/>
      <c r="V431" s="9"/>
      <c r="W431" s="9"/>
      <c r="X431" s="5"/>
      <c r="Y431" s="5"/>
      <c r="Z431" s="25"/>
      <c r="AA431" s="12"/>
    </row>
    <row r="432" spans="1:27" ht="18" x14ac:dyDescent="0.45">
      <c r="A432" s="5">
        <v>430</v>
      </c>
      <c r="B432" s="7">
        <v>0</v>
      </c>
      <c r="C432" s="2" t="s">
        <v>686</v>
      </c>
      <c r="D432" s="36" t="s">
        <v>47</v>
      </c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9"/>
      <c r="V432" s="9"/>
      <c r="W432" s="9"/>
      <c r="X432" s="5"/>
      <c r="Y432" s="5"/>
      <c r="Z432" s="25"/>
      <c r="AA432" s="12"/>
    </row>
    <row r="433" spans="1:27" ht="18" x14ac:dyDescent="0.45">
      <c r="A433" s="5">
        <v>431</v>
      </c>
      <c r="B433" s="7" t="s">
        <v>687</v>
      </c>
      <c r="C433" s="13" t="s">
        <v>44</v>
      </c>
      <c r="D433" s="36" t="s">
        <v>225</v>
      </c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9"/>
      <c r="V433" s="9"/>
      <c r="W433" s="9"/>
      <c r="X433" s="5">
        <v>3</v>
      </c>
      <c r="Y433" s="5"/>
      <c r="Z433" s="25"/>
      <c r="AA433" s="12"/>
    </row>
    <row r="434" spans="1:27" ht="18" x14ac:dyDescent="0.45">
      <c r="A434" s="5">
        <v>432</v>
      </c>
      <c r="B434" s="7" t="s">
        <v>688</v>
      </c>
      <c r="C434" s="13" t="s">
        <v>19</v>
      </c>
      <c r="D434" s="36" t="s">
        <v>225</v>
      </c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9"/>
      <c r="V434" s="9"/>
      <c r="W434" s="9"/>
      <c r="X434" s="5">
        <v>1</v>
      </c>
      <c r="Y434" s="5">
        <v>1</v>
      </c>
      <c r="Z434" s="25"/>
      <c r="AA434" s="25"/>
    </row>
    <row r="435" spans="1:27" ht="18" x14ac:dyDescent="0.45">
      <c r="A435" s="5">
        <v>433</v>
      </c>
      <c r="B435" s="7" t="s">
        <v>690</v>
      </c>
      <c r="C435" s="13" t="s">
        <v>689</v>
      </c>
      <c r="D435" s="36" t="s">
        <v>225</v>
      </c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9"/>
      <c r="V435" s="9"/>
      <c r="W435" s="9"/>
      <c r="X435" s="12">
        <v>1</v>
      </c>
      <c r="Y435" s="5"/>
      <c r="Z435" s="25"/>
      <c r="AA435" s="12"/>
    </row>
    <row r="436" spans="1:27" ht="18" x14ac:dyDescent="0.45">
      <c r="A436" s="5">
        <v>434</v>
      </c>
      <c r="B436" s="7">
        <v>402403</v>
      </c>
      <c r="C436" s="13" t="s">
        <v>691</v>
      </c>
      <c r="D436" s="36" t="s">
        <v>225</v>
      </c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9"/>
      <c r="V436" s="9"/>
      <c r="W436" s="9"/>
      <c r="X436" s="5">
        <v>1</v>
      </c>
      <c r="Y436" s="5"/>
      <c r="Z436" s="25"/>
      <c r="AA436" s="12"/>
    </row>
    <row r="437" spans="1:27" ht="18" x14ac:dyDescent="0.45">
      <c r="A437" s="5">
        <v>435</v>
      </c>
      <c r="B437" s="7">
        <v>402401</v>
      </c>
      <c r="C437" s="13" t="s">
        <v>692</v>
      </c>
      <c r="D437" s="36" t="s">
        <v>225</v>
      </c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9"/>
      <c r="V437" s="9"/>
      <c r="W437" s="9"/>
      <c r="X437" s="5">
        <v>1</v>
      </c>
      <c r="Y437" s="5"/>
      <c r="Z437" s="25"/>
      <c r="AA437" s="12"/>
    </row>
    <row r="438" spans="1:27" ht="18" x14ac:dyDescent="0.45">
      <c r="A438" s="5">
        <v>436</v>
      </c>
      <c r="B438" s="7" t="s">
        <v>842</v>
      </c>
      <c r="C438" s="13" t="s">
        <v>44</v>
      </c>
      <c r="D438" s="36" t="s">
        <v>27</v>
      </c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9">
        <v>0.48958333333333331</v>
      </c>
      <c r="V438" s="9"/>
      <c r="W438" s="9"/>
      <c r="X438" s="5">
        <v>1</v>
      </c>
      <c r="Y438" s="5"/>
      <c r="Z438" s="25"/>
      <c r="AA438" s="12"/>
    </row>
    <row r="439" spans="1:27" ht="18" x14ac:dyDescent="0.45">
      <c r="A439" s="5">
        <v>437</v>
      </c>
      <c r="B439" s="7" t="s">
        <v>843</v>
      </c>
      <c r="C439" s="13" t="s">
        <v>837</v>
      </c>
      <c r="D439" s="36" t="s">
        <v>27</v>
      </c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9"/>
      <c r="V439" s="9"/>
      <c r="W439" s="9"/>
      <c r="X439" s="5">
        <v>1</v>
      </c>
      <c r="Y439" s="5"/>
      <c r="Z439" s="25"/>
      <c r="AA439" s="12"/>
    </row>
    <row r="440" spans="1:27" ht="18" x14ac:dyDescent="0.45">
      <c r="A440" s="5">
        <v>438</v>
      </c>
      <c r="B440" s="7">
        <v>406200</v>
      </c>
      <c r="C440" s="13" t="s">
        <v>19</v>
      </c>
      <c r="D440" s="36" t="s">
        <v>27</v>
      </c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9"/>
      <c r="V440" s="9"/>
      <c r="W440" s="9"/>
      <c r="X440" s="5">
        <v>1</v>
      </c>
      <c r="Y440" s="5">
        <v>1</v>
      </c>
      <c r="Z440" s="25"/>
      <c r="AA440" s="25"/>
    </row>
    <row r="441" spans="1:27" ht="18" x14ac:dyDescent="0.45">
      <c r="A441" s="5">
        <v>439</v>
      </c>
      <c r="B441" s="7" t="s">
        <v>840</v>
      </c>
      <c r="C441" s="13" t="s">
        <v>836</v>
      </c>
      <c r="D441" s="36" t="s">
        <v>27</v>
      </c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9">
        <v>0.48958333333333331</v>
      </c>
      <c r="V441" s="9"/>
      <c r="W441" s="9"/>
      <c r="X441" s="5">
        <v>2</v>
      </c>
      <c r="Y441" s="5">
        <v>3</v>
      </c>
      <c r="Z441" s="25"/>
      <c r="AA441" s="25"/>
    </row>
    <row r="442" spans="1:27" ht="18" x14ac:dyDescent="0.45">
      <c r="A442" s="5">
        <v>440</v>
      </c>
      <c r="B442" s="7">
        <v>406405</v>
      </c>
      <c r="C442" s="13" t="s">
        <v>689</v>
      </c>
      <c r="D442" s="36" t="s">
        <v>27</v>
      </c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9"/>
      <c r="V442" s="9"/>
      <c r="W442" s="9"/>
      <c r="X442" s="12">
        <v>1</v>
      </c>
      <c r="Y442" s="5"/>
      <c r="Z442" s="25"/>
      <c r="AA442" s="12"/>
    </row>
    <row r="443" spans="1:27" ht="18" x14ac:dyDescent="0.45">
      <c r="A443" s="5">
        <v>441</v>
      </c>
      <c r="B443" s="7">
        <v>406403</v>
      </c>
      <c r="C443" s="13" t="s">
        <v>691</v>
      </c>
      <c r="D443" s="36" t="s">
        <v>27</v>
      </c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9"/>
      <c r="V443" s="9"/>
      <c r="W443" s="9"/>
      <c r="X443" s="5">
        <v>1</v>
      </c>
      <c r="Y443" s="5"/>
      <c r="Z443" s="25"/>
      <c r="AA443" s="12"/>
    </row>
    <row r="444" spans="1:27" ht="18" x14ac:dyDescent="0.45">
      <c r="A444" s="5">
        <v>442</v>
      </c>
      <c r="B444" s="7">
        <v>406401</v>
      </c>
      <c r="C444" s="13" t="s">
        <v>692</v>
      </c>
      <c r="D444" s="36" t="s">
        <v>27</v>
      </c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9"/>
      <c r="V444" s="9"/>
      <c r="W444" s="9"/>
      <c r="X444" s="5">
        <v>1</v>
      </c>
      <c r="Y444" s="5"/>
      <c r="Z444" s="25"/>
      <c r="AA444" s="12"/>
    </row>
    <row r="445" spans="1:27" ht="18" x14ac:dyDescent="0.45">
      <c r="A445" s="5">
        <v>443</v>
      </c>
      <c r="B445" s="7" t="s">
        <v>694</v>
      </c>
      <c r="C445" s="2" t="s">
        <v>693</v>
      </c>
      <c r="D445" s="36" t="s">
        <v>231</v>
      </c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9">
        <v>0.16666666666666666</v>
      </c>
      <c r="V445" s="9"/>
      <c r="W445" s="9"/>
      <c r="X445" s="5">
        <v>1</v>
      </c>
      <c r="Y445" s="5">
        <v>2</v>
      </c>
      <c r="Z445" s="25" t="s">
        <v>1272</v>
      </c>
      <c r="AA445" s="12"/>
    </row>
    <row r="446" spans="1:27" ht="18" x14ac:dyDescent="0.45">
      <c r="A446" s="5">
        <v>444</v>
      </c>
      <c r="B446" s="7" t="s">
        <v>696</v>
      </c>
      <c r="C446" s="13" t="s">
        <v>695</v>
      </c>
      <c r="D446" s="36" t="s">
        <v>231</v>
      </c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9">
        <v>0.33333333333333331</v>
      </c>
      <c r="V446" s="9"/>
      <c r="W446" s="9"/>
      <c r="X446" s="12">
        <v>1</v>
      </c>
      <c r="Y446" s="5">
        <v>19</v>
      </c>
      <c r="Z446" s="25" t="s">
        <v>1273</v>
      </c>
      <c r="AA446" s="12"/>
    </row>
    <row r="447" spans="1:27" ht="18" x14ac:dyDescent="0.45">
      <c r="A447" s="5">
        <v>445</v>
      </c>
      <c r="B447" s="7">
        <v>430403</v>
      </c>
      <c r="C447" s="13" t="s">
        <v>697</v>
      </c>
      <c r="D447" s="36" t="s">
        <v>231</v>
      </c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9">
        <v>0.25</v>
      </c>
      <c r="V447" s="9"/>
      <c r="W447" s="9"/>
      <c r="X447" s="5">
        <v>1</v>
      </c>
      <c r="Y447" s="5">
        <v>19</v>
      </c>
      <c r="Z447" s="46" t="s">
        <v>1274</v>
      </c>
      <c r="AA447" s="12"/>
    </row>
    <row r="448" spans="1:27" ht="18" x14ac:dyDescent="0.45">
      <c r="A448" s="5">
        <v>446</v>
      </c>
      <c r="B448" s="7">
        <v>430401</v>
      </c>
      <c r="C448" s="13" t="s">
        <v>698</v>
      </c>
      <c r="D448" s="36" t="s">
        <v>231</v>
      </c>
      <c r="E448" s="36"/>
      <c r="F448" s="36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9">
        <v>0.25</v>
      </c>
      <c r="V448" s="9"/>
      <c r="W448" s="9"/>
      <c r="X448" s="5">
        <v>1</v>
      </c>
      <c r="Y448" s="5"/>
      <c r="Z448" s="25"/>
      <c r="AA448" s="12"/>
    </row>
    <row r="449" spans="1:27" ht="18" x14ac:dyDescent="0.45">
      <c r="A449" s="5">
        <v>447</v>
      </c>
      <c r="B449" s="7" t="s">
        <v>700</v>
      </c>
      <c r="C449" s="2" t="s">
        <v>699</v>
      </c>
      <c r="D449" s="36" t="s">
        <v>231</v>
      </c>
      <c r="E449" s="36"/>
      <c r="F449" s="36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9">
        <v>0.25</v>
      </c>
      <c r="V449" s="9"/>
      <c r="W449" s="9"/>
      <c r="X449" s="5">
        <v>1</v>
      </c>
      <c r="Y449" s="5"/>
      <c r="Z449" s="25"/>
      <c r="AA449" s="12"/>
    </row>
    <row r="450" spans="1:27" ht="18" x14ac:dyDescent="0.45">
      <c r="A450" s="5">
        <v>448</v>
      </c>
      <c r="B450" s="7">
        <v>430404</v>
      </c>
      <c r="C450" s="2" t="s">
        <v>701</v>
      </c>
      <c r="D450" s="36" t="s">
        <v>231</v>
      </c>
      <c r="E450" s="36"/>
      <c r="F450" s="36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9">
        <v>0.25</v>
      </c>
      <c r="V450" s="9"/>
      <c r="W450" s="9"/>
      <c r="X450" s="5">
        <v>1</v>
      </c>
      <c r="Y450" s="5">
        <v>19</v>
      </c>
      <c r="Z450" s="25" t="s">
        <v>1275</v>
      </c>
      <c r="AA450" s="12"/>
    </row>
    <row r="451" spans="1:27" ht="18" x14ac:dyDescent="0.45">
      <c r="A451" s="5">
        <v>449</v>
      </c>
      <c r="B451" s="7">
        <v>430402</v>
      </c>
      <c r="C451" s="2" t="s">
        <v>702</v>
      </c>
      <c r="D451" s="36" t="s">
        <v>231</v>
      </c>
      <c r="E451" s="36"/>
      <c r="F451" s="36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9">
        <v>0.25</v>
      </c>
      <c r="V451" s="9"/>
      <c r="W451" s="9"/>
      <c r="X451" s="5">
        <v>1</v>
      </c>
      <c r="Y451" s="5"/>
      <c r="Z451" s="25"/>
      <c r="AA451" s="12"/>
    </row>
    <row r="452" spans="1:27" ht="18" x14ac:dyDescent="0.45">
      <c r="A452" s="5">
        <v>450</v>
      </c>
      <c r="B452" s="7" t="s">
        <v>704</v>
      </c>
      <c r="C452" s="13" t="s">
        <v>703</v>
      </c>
      <c r="D452" s="36" t="s">
        <v>231</v>
      </c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9"/>
      <c r="V452" s="9"/>
      <c r="W452" s="9"/>
      <c r="X452" s="5">
        <v>1</v>
      </c>
      <c r="Y452" s="5"/>
      <c r="Z452" s="25"/>
      <c r="AA452" s="12"/>
    </row>
    <row r="453" spans="1:27" ht="18" x14ac:dyDescent="0.45">
      <c r="A453" s="5">
        <v>451</v>
      </c>
      <c r="B453" s="7" t="s">
        <v>706</v>
      </c>
      <c r="C453" s="13" t="s">
        <v>705</v>
      </c>
      <c r="D453" s="36" t="s">
        <v>239</v>
      </c>
      <c r="E453" s="36"/>
      <c r="F453" s="36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9"/>
      <c r="V453" s="9"/>
      <c r="W453" s="9"/>
      <c r="X453" s="12">
        <v>1</v>
      </c>
      <c r="Y453" s="5"/>
      <c r="Z453" s="25"/>
      <c r="AA453" s="12"/>
    </row>
    <row r="454" spans="1:27" ht="18" x14ac:dyDescent="0.45">
      <c r="A454" s="5">
        <v>452</v>
      </c>
      <c r="B454" s="7">
        <v>433403</v>
      </c>
      <c r="C454" s="13" t="s">
        <v>707</v>
      </c>
      <c r="D454" s="36" t="s">
        <v>239</v>
      </c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9"/>
      <c r="V454" s="9"/>
      <c r="W454" s="9"/>
      <c r="X454" s="5">
        <v>1</v>
      </c>
      <c r="Y454" s="5"/>
      <c r="Z454" s="25"/>
      <c r="AA454" s="12"/>
    </row>
    <row r="455" spans="1:27" ht="18" x14ac:dyDescent="0.45">
      <c r="A455" s="5">
        <v>453</v>
      </c>
      <c r="B455" s="7">
        <v>433401</v>
      </c>
      <c r="C455" s="13" t="s">
        <v>708</v>
      </c>
      <c r="D455" s="36" t="s">
        <v>239</v>
      </c>
      <c r="E455" s="36"/>
      <c r="F455" s="36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9"/>
      <c r="V455" s="9"/>
      <c r="W455" s="9"/>
      <c r="X455" s="5">
        <v>1</v>
      </c>
      <c r="Y455" s="5"/>
      <c r="Z455" s="25"/>
      <c r="AA455" s="12"/>
    </row>
    <row r="456" spans="1:27" ht="18" x14ac:dyDescent="0.45">
      <c r="A456" s="5">
        <v>454</v>
      </c>
      <c r="B456" s="7" t="s">
        <v>710</v>
      </c>
      <c r="C456" s="13" t="s">
        <v>709</v>
      </c>
      <c r="D456" s="36" t="s">
        <v>241</v>
      </c>
      <c r="E456" s="36"/>
      <c r="F456" s="36"/>
      <c r="G456" s="36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9"/>
      <c r="V456" s="9"/>
      <c r="W456" s="9"/>
      <c r="X456" s="12">
        <v>1</v>
      </c>
      <c r="Y456" s="5"/>
      <c r="Z456" s="25"/>
      <c r="AA456" s="12"/>
    </row>
    <row r="457" spans="1:27" ht="36" x14ac:dyDescent="0.45">
      <c r="A457" s="5">
        <v>455</v>
      </c>
      <c r="B457" s="7">
        <v>434403</v>
      </c>
      <c r="C457" s="13" t="s">
        <v>711</v>
      </c>
      <c r="D457" s="36" t="s">
        <v>241</v>
      </c>
      <c r="E457" s="36"/>
      <c r="F457" s="36"/>
      <c r="G457" s="36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9"/>
      <c r="V457" s="9"/>
      <c r="W457" s="9"/>
      <c r="X457" s="5">
        <v>1</v>
      </c>
      <c r="Y457" s="5"/>
      <c r="Z457" s="25"/>
      <c r="AA457" s="12"/>
    </row>
    <row r="458" spans="1:27" ht="18" x14ac:dyDescent="0.45">
      <c r="A458" s="5">
        <v>456</v>
      </c>
      <c r="B458" s="7">
        <v>434401</v>
      </c>
      <c r="C458" s="13" t="s">
        <v>712</v>
      </c>
      <c r="D458" s="36" t="s">
        <v>241</v>
      </c>
      <c r="E458" s="36"/>
      <c r="F458" s="36"/>
      <c r="G458" s="36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9"/>
      <c r="V458" s="9"/>
      <c r="W458" s="9"/>
      <c r="X458" s="5">
        <v>1</v>
      </c>
      <c r="Y458" s="5"/>
      <c r="Z458" s="25"/>
      <c r="AA458" s="12"/>
    </row>
    <row r="459" spans="1:27" ht="18" x14ac:dyDescent="0.45">
      <c r="A459" s="5">
        <v>457</v>
      </c>
      <c r="B459" s="7">
        <v>431405</v>
      </c>
      <c r="C459" s="13" t="s">
        <v>713</v>
      </c>
      <c r="D459" s="36" t="s">
        <v>234</v>
      </c>
      <c r="E459" s="36"/>
      <c r="F459" s="36"/>
      <c r="G459" s="36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9"/>
      <c r="V459" s="9"/>
      <c r="W459" s="9"/>
      <c r="X459" s="12">
        <v>1</v>
      </c>
      <c r="Y459" s="5"/>
      <c r="Z459" s="25"/>
      <c r="AA459" s="12"/>
    </row>
    <row r="460" spans="1:27" ht="18" x14ac:dyDescent="0.45">
      <c r="A460" s="5">
        <v>458</v>
      </c>
      <c r="B460" s="7">
        <v>431403</v>
      </c>
      <c r="C460" s="13" t="s">
        <v>714</v>
      </c>
      <c r="D460" s="36" t="s">
        <v>234</v>
      </c>
      <c r="E460" s="36"/>
      <c r="F460" s="36"/>
      <c r="G460" s="36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9"/>
      <c r="V460" s="9"/>
      <c r="W460" s="9"/>
      <c r="X460" s="5">
        <v>1</v>
      </c>
      <c r="Y460" s="5"/>
      <c r="Z460" s="25"/>
      <c r="AA460" s="12"/>
    </row>
    <row r="461" spans="1:27" ht="18" x14ac:dyDescent="0.45">
      <c r="A461" s="5">
        <v>459</v>
      </c>
      <c r="B461" s="7">
        <v>431401</v>
      </c>
      <c r="C461" s="13" t="s">
        <v>715</v>
      </c>
      <c r="D461" s="36" t="s">
        <v>234</v>
      </c>
      <c r="E461" s="36"/>
      <c r="F461" s="36"/>
      <c r="G461" s="36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9"/>
      <c r="V461" s="9"/>
      <c r="W461" s="9"/>
      <c r="X461" s="5">
        <v>1</v>
      </c>
      <c r="Y461" s="5"/>
      <c r="Z461" s="25"/>
      <c r="AA461" s="12"/>
    </row>
    <row r="462" spans="1:27" ht="18" x14ac:dyDescent="0.45">
      <c r="A462" s="5">
        <v>460</v>
      </c>
      <c r="B462" s="7">
        <v>432405</v>
      </c>
      <c r="C462" s="13" t="s">
        <v>716</v>
      </c>
      <c r="D462" s="36" t="s">
        <v>237</v>
      </c>
      <c r="E462" s="36"/>
      <c r="F462" s="36"/>
      <c r="G462" s="36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9"/>
      <c r="V462" s="9"/>
      <c r="W462" s="9"/>
      <c r="X462" s="12">
        <v>1</v>
      </c>
      <c r="Y462" s="5"/>
      <c r="Z462" s="25"/>
      <c r="AA462" s="12"/>
    </row>
    <row r="463" spans="1:27" ht="18" x14ac:dyDescent="0.45">
      <c r="A463" s="5">
        <v>461</v>
      </c>
      <c r="B463" s="7">
        <v>432403</v>
      </c>
      <c r="C463" s="13" t="s">
        <v>717</v>
      </c>
      <c r="D463" s="36" t="s">
        <v>237</v>
      </c>
      <c r="E463" s="36"/>
      <c r="F463" s="36"/>
      <c r="G463" s="36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9"/>
      <c r="V463" s="9"/>
      <c r="W463" s="9"/>
      <c r="X463" s="5">
        <v>1</v>
      </c>
      <c r="Y463" s="5"/>
      <c r="Z463" s="25"/>
      <c r="AA463" s="12"/>
    </row>
    <row r="464" spans="1:27" ht="18" x14ac:dyDescent="0.45">
      <c r="A464" s="5">
        <v>462</v>
      </c>
      <c r="B464" s="7">
        <v>432401</v>
      </c>
      <c r="C464" s="13" t="s">
        <v>718</v>
      </c>
      <c r="D464" s="36" t="s">
        <v>237</v>
      </c>
      <c r="E464" s="36"/>
      <c r="F464" s="36"/>
      <c r="G464" s="36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9"/>
      <c r="V464" s="9"/>
      <c r="W464" s="9"/>
      <c r="X464" s="5">
        <v>1</v>
      </c>
      <c r="Y464" s="5"/>
      <c r="Z464" s="25"/>
      <c r="AA464" s="12"/>
    </row>
    <row r="465" spans="1:27" ht="18" x14ac:dyDescent="0.45">
      <c r="A465" s="5">
        <v>463</v>
      </c>
      <c r="B465" s="7">
        <v>435405</v>
      </c>
      <c r="C465" s="13" t="s">
        <v>719</v>
      </c>
      <c r="D465" s="36" t="s">
        <v>243</v>
      </c>
      <c r="E465" s="36"/>
      <c r="F465" s="36"/>
      <c r="G465" s="36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9"/>
      <c r="V465" s="9"/>
      <c r="W465" s="9"/>
      <c r="X465" s="12">
        <v>1</v>
      </c>
      <c r="Y465" s="5"/>
      <c r="Z465" s="25"/>
      <c r="AA465" s="12"/>
    </row>
    <row r="466" spans="1:27" ht="18" x14ac:dyDescent="0.45">
      <c r="A466" s="5">
        <v>464</v>
      </c>
      <c r="B466" s="7">
        <v>435403</v>
      </c>
      <c r="C466" s="13" t="s">
        <v>720</v>
      </c>
      <c r="D466" s="36" t="s">
        <v>243</v>
      </c>
      <c r="E466" s="36"/>
      <c r="F466" s="36"/>
      <c r="G466" s="36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9"/>
      <c r="V466" s="9"/>
      <c r="W466" s="9"/>
      <c r="X466" s="5">
        <v>1</v>
      </c>
      <c r="Y466" s="5"/>
      <c r="Z466" s="25"/>
      <c r="AA466" s="12"/>
    </row>
    <row r="467" spans="1:27" ht="18" x14ac:dyDescent="0.45">
      <c r="A467" s="5">
        <v>465</v>
      </c>
      <c r="B467" s="7">
        <v>435401</v>
      </c>
      <c r="C467" s="13" t="s">
        <v>721</v>
      </c>
      <c r="D467" s="36" t="s">
        <v>243</v>
      </c>
      <c r="E467" s="36"/>
      <c r="F467" s="36"/>
      <c r="G467" s="36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9"/>
      <c r="V467" s="9"/>
      <c r="W467" s="9"/>
      <c r="X467" s="5">
        <v>1</v>
      </c>
      <c r="Y467" s="5"/>
      <c r="Z467" s="25"/>
      <c r="AA467" s="12"/>
    </row>
    <row r="468" spans="1:27" ht="18" x14ac:dyDescent="0.45">
      <c r="A468" s="5">
        <v>466</v>
      </c>
      <c r="B468" s="7">
        <v>430715</v>
      </c>
      <c r="C468" s="2" t="s">
        <v>638</v>
      </c>
      <c r="D468" s="36" t="s">
        <v>231</v>
      </c>
      <c r="E468" s="36"/>
      <c r="F468" s="36"/>
      <c r="G468" s="36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9"/>
      <c r="V468" s="9"/>
      <c r="W468" s="9"/>
      <c r="X468" s="5"/>
      <c r="Y468" s="5"/>
      <c r="Z468" s="25"/>
      <c r="AA468" s="12"/>
    </row>
    <row r="469" spans="1:27" ht="18" x14ac:dyDescent="0.45">
      <c r="A469" s="5">
        <v>467</v>
      </c>
      <c r="B469" s="7">
        <v>430711</v>
      </c>
      <c r="C469" s="2" t="s">
        <v>639</v>
      </c>
      <c r="D469" s="36" t="s">
        <v>231</v>
      </c>
      <c r="E469" s="36"/>
      <c r="F469" s="36"/>
      <c r="G469" s="36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9"/>
      <c r="V469" s="9"/>
      <c r="W469" s="9"/>
      <c r="X469" s="5"/>
      <c r="Y469" s="5"/>
      <c r="Z469" s="25"/>
      <c r="AA469" s="12"/>
    </row>
    <row r="470" spans="1:27" ht="18" x14ac:dyDescent="0.45">
      <c r="A470" s="5">
        <v>468</v>
      </c>
      <c r="B470" s="7">
        <v>430705</v>
      </c>
      <c r="C470" s="2" t="s">
        <v>640</v>
      </c>
      <c r="D470" s="36" t="s">
        <v>231</v>
      </c>
      <c r="E470" s="36"/>
      <c r="F470" s="36"/>
      <c r="G470" s="36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9"/>
      <c r="V470" s="9"/>
      <c r="W470" s="9"/>
      <c r="X470" s="5"/>
      <c r="Y470" s="5"/>
      <c r="Z470" s="25"/>
      <c r="AA470" s="12"/>
    </row>
    <row r="471" spans="1:27" ht="18" x14ac:dyDescent="0.45">
      <c r="A471" s="5">
        <v>469</v>
      </c>
      <c r="B471" s="7">
        <v>430701</v>
      </c>
      <c r="C471" s="2" t="s">
        <v>641</v>
      </c>
      <c r="D471" s="36" t="s">
        <v>231</v>
      </c>
      <c r="E471" s="36"/>
      <c r="F471" s="36"/>
      <c r="G471" s="36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9"/>
      <c r="V471" s="9"/>
      <c r="W471" s="9"/>
      <c r="X471" s="5"/>
      <c r="Y471" s="5"/>
      <c r="Z471" s="25"/>
      <c r="AA471" s="12"/>
    </row>
    <row r="472" spans="1:27" ht="18" x14ac:dyDescent="0.45">
      <c r="A472" s="5">
        <v>470</v>
      </c>
      <c r="B472" s="7">
        <v>430711</v>
      </c>
      <c r="C472" s="2" t="s">
        <v>722</v>
      </c>
      <c r="D472" s="36" t="s">
        <v>231</v>
      </c>
      <c r="E472" s="36"/>
      <c r="F472" s="36"/>
      <c r="G472" s="36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9"/>
      <c r="V472" s="9"/>
      <c r="W472" s="9"/>
      <c r="X472" s="5"/>
      <c r="Y472" s="5"/>
      <c r="Z472" s="25"/>
      <c r="AA472" s="12"/>
    </row>
    <row r="473" spans="1:27" ht="18" x14ac:dyDescent="0.45">
      <c r="A473" s="5">
        <v>471</v>
      </c>
      <c r="B473" s="7">
        <v>430715</v>
      </c>
      <c r="C473" s="2" t="s">
        <v>723</v>
      </c>
      <c r="D473" s="36" t="s">
        <v>231</v>
      </c>
      <c r="E473" s="36"/>
      <c r="F473" s="36"/>
      <c r="G473" s="36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9"/>
      <c r="V473" s="9"/>
      <c r="W473" s="9"/>
      <c r="X473" s="5"/>
      <c r="Y473" s="5"/>
      <c r="Z473" s="25"/>
      <c r="AA473" s="12"/>
    </row>
    <row r="474" spans="1:27" ht="18" x14ac:dyDescent="0.45">
      <c r="A474" s="5">
        <v>472</v>
      </c>
      <c r="B474" s="7">
        <v>420200</v>
      </c>
      <c r="C474" s="2" t="s">
        <v>724</v>
      </c>
      <c r="D474" s="36" t="s">
        <v>149</v>
      </c>
      <c r="E474" s="36"/>
      <c r="F474" s="36"/>
      <c r="G474" s="36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9"/>
      <c r="V474" s="9"/>
      <c r="W474" s="9"/>
      <c r="X474" s="5">
        <v>1</v>
      </c>
      <c r="Y474" s="5">
        <v>1</v>
      </c>
      <c r="Z474" s="25"/>
      <c r="AA474" s="25"/>
    </row>
    <row r="475" spans="1:27" ht="18" x14ac:dyDescent="0.45">
      <c r="A475" s="5">
        <v>473</v>
      </c>
      <c r="B475" s="7" t="s">
        <v>726</v>
      </c>
      <c r="C475" s="2" t="s">
        <v>725</v>
      </c>
      <c r="D475" s="36" t="s">
        <v>149</v>
      </c>
      <c r="E475" s="36"/>
      <c r="F475" s="36"/>
      <c r="G475" s="36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9"/>
      <c r="V475" s="9"/>
      <c r="W475" s="9"/>
      <c r="X475" s="12">
        <v>1</v>
      </c>
      <c r="Y475" s="5"/>
      <c r="Z475" s="25"/>
      <c r="AA475" s="12"/>
    </row>
    <row r="476" spans="1:27" ht="18" x14ac:dyDescent="0.45">
      <c r="A476" s="5">
        <v>474</v>
      </c>
      <c r="B476" s="7">
        <v>420403</v>
      </c>
      <c r="C476" s="2" t="s">
        <v>727</v>
      </c>
      <c r="D476" s="36" t="s">
        <v>149</v>
      </c>
      <c r="E476" s="36"/>
      <c r="F476" s="36"/>
      <c r="G476" s="36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9"/>
      <c r="V476" s="9"/>
      <c r="W476" s="9"/>
      <c r="X476" s="5">
        <v>1</v>
      </c>
      <c r="Y476" s="5"/>
      <c r="Z476" s="25"/>
      <c r="AA476" s="12"/>
    </row>
    <row r="477" spans="1:27" ht="18" x14ac:dyDescent="0.45">
      <c r="A477" s="5">
        <v>475</v>
      </c>
      <c r="B477" s="7">
        <v>420401</v>
      </c>
      <c r="C477" s="2" t="s">
        <v>728</v>
      </c>
      <c r="D477" s="36" t="s">
        <v>149</v>
      </c>
      <c r="E477" s="36"/>
      <c r="F477" s="36"/>
      <c r="G477" s="36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9"/>
      <c r="V477" s="9"/>
      <c r="W477" s="9"/>
      <c r="X477" s="5">
        <v>1</v>
      </c>
      <c r="Y477" s="5"/>
      <c r="Z477" s="25"/>
      <c r="AA477" s="12"/>
    </row>
    <row r="478" spans="1:27" ht="18" x14ac:dyDescent="0.45">
      <c r="A478" s="5">
        <v>476</v>
      </c>
      <c r="B478" s="7" t="s">
        <v>730</v>
      </c>
      <c r="C478" s="2" t="s">
        <v>729</v>
      </c>
      <c r="D478" s="36" t="s">
        <v>76</v>
      </c>
      <c r="E478" s="36"/>
      <c r="F478" s="36"/>
      <c r="G478" s="36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9">
        <v>0.66666666666666663</v>
      </c>
      <c r="V478" s="9"/>
      <c r="W478" s="9"/>
      <c r="X478" s="5">
        <v>1</v>
      </c>
      <c r="Y478" s="5"/>
      <c r="Z478" s="25"/>
      <c r="AA478" s="12"/>
    </row>
    <row r="479" spans="1:27" ht="18" x14ac:dyDescent="0.45">
      <c r="A479" s="5">
        <v>477</v>
      </c>
      <c r="B479" s="7" t="s">
        <v>732</v>
      </c>
      <c r="C479" s="2" t="s">
        <v>731</v>
      </c>
      <c r="D479" s="36" t="s">
        <v>76</v>
      </c>
      <c r="E479" s="36"/>
      <c r="F479" s="36"/>
      <c r="G479" s="36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9"/>
      <c r="V479" s="9"/>
      <c r="W479" s="9"/>
      <c r="X479" s="12">
        <v>1</v>
      </c>
      <c r="Y479" s="5"/>
      <c r="Z479" s="25"/>
      <c r="AA479" s="12"/>
    </row>
    <row r="480" spans="1:27" ht="18" x14ac:dyDescent="0.45">
      <c r="A480" s="5">
        <v>478</v>
      </c>
      <c r="B480" s="7">
        <v>422403</v>
      </c>
      <c r="C480" s="2" t="s">
        <v>733</v>
      </c>
      <c r="D480" s="36" t="s">
        <v>76</v>
      </c>
      <c r="E480" s="36"/>
      <c r="F480" s="36"/>
      <c r="G480" s="36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9"/>
      <c r="V480" s="9"/>
      <c r="W480" s="9"/>
      <c r="X480" s="5">
        <v>1</v>
      </c>
      <c r="Y480" s="5"/>
      <c r="Z480" s="25"/>
      <c r="AA480" s="12"/>
    </row>
    <row r="481" spans="1:27" ht="18" x14ac:dyDescent="0.45">
      <c r="A481" s="5">
        <v>479</v>
      </c>
      <c r="B481" s="7">
        <v>422401</v>
      </c>
      <c r="C481" s="2" t="s">
        <v>734</v>
      </c>
      <c r="D481" s="36" t="s">
        <v>76</v>
      </c>
      <c r="E481" s="36"/>
      <c r="F481" s="36"/>
      <c r="G481" s="36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9"/>
      <c r="V481" s="9"/>
      <c r="W481" s="9"/>
      <c r="X481" s="5">
        <v>1</v>
      </c>
      <c r="Y481" s="5"/>
      <c r="Z481" s="25"/>
      <c r="AA481" s="12"/>
    </row>
    <row r="482" spans="1:27" ht="18" x14ac:dyDescent="0.45">
      <c r="A482" s="5">
        <v>480</v>
      </c>
      <c r="B482" s="7" t="s">
        <v>736</v>
      </c>
      <c r="C482" s="2" t="s">
        <v>735</v>
      </c>
      <c r="D482" s="36" t="s">
        <v>76</v>
      </c>
      <c r="E482" s="36"/>
      <c r="F482" s="36"/>
      <c r="G482" s="36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9">
        <v>0.16666666666666666</v>
      </c>
      <c r="V482" s="9"/>
      <c r="W482" s="9"/>
      <c r="X482" s="5">
        <v>1</v>
      </c>
      <c r="Y482" s="5">
        <v>2</v>
      </c>
      <c r="Z482" s="25">
        <v>42</v>
      </c>
      <c r="AA482" s="12"/>
    </row>
    <row r="483" spans="1:27" ht="18" x14ac:dyDescent="0.45">
      <c r="A483" s="5">
        <v>481</v>
      </c>
      <c r="B483" s="7" t="s">
        <v>737</v>
      </c>
      <c r="C483" s="2" t="s">
        <v>179</v>
      </c>
      <c r="D483" s="36" t="s">
        <v>76</v>
      </c>
      <c r="E483" s="36"/>
      <c r="F483" s="36"/>
      <c r="G483" s="36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9"/>
      <c r="V483" s="9"/>
      <c r="W483" s="9"/>
      <c r="X483" s="5">
        <v>1</v>
      </c>
      <c r="Y483" s="5">
        <v>1</v>
      </c>
      <c r="Z483" s="25"/>
      <c r="AA483" s="25"/>
    </row>
    <row r="484" spans="1:27" ht="18" x14ac:dyDescent="0.45">
      <c r="A484" s="5">
        <v>482</v>
      </c>
      <c r="B484" s="7" t="s">
        <v>738</v>
      </c>
      <c r="C484" s="2" t="s">
        <v>1253</v>
      </c>
      <c r="D484" s="36" t="s">
        <v>1145</v>
      </c>
      <c r="E484" s="36"/>
      <c r="F484" s="36"/>
      <c r="G484" s="36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9">
        <v>1</v>
      </c>
      <c r="V484" s="9"/>
      <c r="W484" s="9"/>
      <c r="X484" s="5">
        <v>1</v>
      </c>
      <c r="Y484" s="5">
        <v>12</v>
      </c>
      <c r="Z484" s="25" t="s">
        <v>1252</v>
      </c>
      <c r="AA484" s="12"/>
    </row>
    <row r="485" spans="1:27" ht="18" x14ac:dyDescent="0.45">
      <c r="A485" s="5">
        <v>483</v>
      </c>
      <c r="B485" s="7">
        <v>422715</v>
      </c>
      <c r="C485" s="2" t="s">
        <v>638</v>
      </c>
      <c r="D485" s="36" t="s">
        <v>30</v>
      </c>
      <c r="E485" s="36"/>
      <c r="F485" s="36"/>
      <c r="G485" s="36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9"/>
      <c r="V485" s="9"/>
      <c r="W485" s="9"/>
      <c r="X485" s="5"/>
      <c r="Y485" s="5"/>
      <c r="Z485" s="25"/>
      <c r="AA485" s="12"/>
    </row>
    <row r="486" spans="1:27" ht="18" x14ac:dyDescent="0.45">
      <c r="A486" s="5">
        <v>484</v>
      </c>
      <c r="B486" s="7">
        <v>422711</v>
      </c>
      <c r="C486" s="2" t="s">
        <v>639</v>
      </c>
      <c r="D486" s="36" t="s">
        <v>30</v>
      </c>
      <c r="E486" s="36"/>
      <c r="F486" s="36"/>
      <c r="G486" s="36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9"/>
      <c r="V486" s="9"/>
      <c r="W486" s="9"/>
      <c r="X486" s="5"/>
      <c r="Y486" s="5"/>
      <c r="Z486" s="25"/>
      <c r="AA486" s="12"/>
    </row>
    <row r="487" spans="1:27" ht="18" x14ac:dyDescent="0.45">
      <c r="A487" s="5">
        <v>485</v>
      </c>
      <c r="B487" s="7">
        <v>422705</v>
      </c>
      <c r="C487" s="2" t="s">
        <v>640</v>
      </c>
      <c r="D487" s="36" t="s">
        <v>30</v>
      </c>
      <c r="E487" s="36"/>
      <c r="F487" s="36"/>
      <c r="G487" s="36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9"/>
      <c r="V487" s="9"/>
      <c r="W487" s="9"/>
      <c r="X487" s="5"/>
      <c r="Y487" s="5"/>
      <c r="Z487" s="25"/>
      <c r="AA487" s="12"/>
    </row>
    <row r="488" spans="1:27" ht="18" x14ac:dyDescent="0.45">
      <c r="A488" s="5">
        <v>486</v>
      </c>
      <c r="B488" s="7">
        <v>422701</v>
      </c>
      <c r="C488" s="2" t="s">
        <v>641</v>
      </c>
      <c r="D488" s="36" t="s">
        <v>30</v>
      </c>
      <c r="E488" s="36"/>
      <c r="F488" s="36"/>
      <c r="G488" s="36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9"/>
      <c r="V488" s="9"/>
      <c r="W488" s="9"/>
      <c r="X488" s="5"/>
      <c r="Y488" s="5"/>
      <c r="Z488" s="25"/>
      <c r="AA488" s="12"/>
    </row>
    <row r="489" spans="1:27" ht="18" x14ac:dyDescent="0.2">
      <c r="A489" s="5">
        <v>487</v>
      </c>
      <c r="B489" s="7" t="s">
        <v>740</v>
      </c>
      <c r="C489" s="22" t="s">
        <v>739</v>
      </c>
      <c r="D489" s="36" t="s">
        <v>70</v>
      </c>
      <c r="E489" s="36"/>
      <c r="F489" s="36"/>
      <c r="G489" s="36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9">
        <v>0.29166666666666669</v>
      </c>
      <c r="V489" s="9"/>
      <c r="W489" s="9"/>
      <c r="X489" s="5">
        <v>3</v>
      </c>
      <c r="Y489" s="5">
        <v>2</v>
      </c>
      <c r="Z489" s="25">
        <v>27.7</v>
      </c>
      <c r="AA489" s="16"/>
    </row>
    <row r="490" spans="1:27" ht="18" x14ac:dyDescent="0.45">
      <c r="A490" s="5">
        <v>488</v>
      </c>
      <c r="B490" s="7" t="s">
        <v>741</v>
      </c>
      <c r="C490" s="2" t="s">
        <v>16</v>
      </c>
      <c r="D490" s="36" t="s">
        <v>70</v>
      </c>
      <c r="E490" s="36"/>
      <c r="F490" s="36"/>
      <c r="G490" s="36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9"/>
      <c r="V490" s="9"/>
      <c r="W490" s="9"/>
      <c r="X490" s="5">
        <v>1</v>
      </c>
      <c r="Y490" s="5"/>
      <c r="Z490" s="25"/>
      <c r="AA490" s="12"/>
    </row>
    <row r="491" spans="1:27" ht="18" x14ac:dyDescent="0.45">
      <c r="A491" s="5">
        <v>489</v>
      </c>
      <c r="B491" s="7" t="s">
        <v>743</v>
      </c>
      <c r="C491" s="2" t="s">
        <v>742</v>
      </c>
      <c r="D491" s="36" t="s">
        <v>70</v>
      </c>
      <c r="E491" s="36"/>
      <c r="F491" s="36"/>
      <c r="G491" s="36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9"/>
      <c r="V491" s="9"/>
      <c r="W491" s="9"/>
      <c r="X491" s="5">
        <v>1</v>
      </c>
      <c r="Y491" s="5">
        <v>3</v>
      </c>
      <c r="Z491" s="25"/>
      <c r="AA491" s="25"/>
    </row>
    <row r="492" spans="1:27" ht="18" x14ac:dyDescent="0.45">
      <c r="A492" s="5">
        <v>490</v>
      </c>
      <c r="B492" s="7" t="s">
        <v>744</v>
      </c>
      <c r="C492" s="2" t="s">
        <v>537</v>
      </c>
      <c r="D492" s="36" t="s">
        <v>70</v>
      </c>
      <c r="E492" s="36"/>
      <c r="F492" s="36"/>
      <c r="G492" s="36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42">
        <v>0.75</v>
      </c>
      <c r="V492" s="42"/>
      <c r="W492" s="42"/>
      <c r="X492" s="12">
        <v>3</v>
      </c>
      <c r="Y492" s="5">
        <v>7</v>
      </c>
      <c r="Z492" s="25">
        <v>65.900000000000006</v>
      </c>
      <c r="AA492" s="25"/>
    </row>
    <row r="493" spans="1:27" ht="18" x14ac:dyDescent="0.45">
      <c r="A493" s="5">
        <v>491</v>
      </c>
      <c r="B493" s="7" t="s">
        <v>745</v>
      </c>
      <c r="C493" s="2" t="s">
        <v>3</v>
      </c>
      <c r="D493" s="36" t="s">
        <v>70</v>
      </c>
      <c r="E493" s="36"/>
      <c r="F493" s="36"/>
      <c r="G493" s="36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9">
        <v>0.16666666666666666</v>
      </c>
      <c r="V493" s="9"/>
      <c r="W493" s="9"/>
      <c r="X493" s="5">
        <v>1</v>
      </c>
      <c r="Y493" s="5">
        <v>2</v>
      </c>
      <c r="Z493" s="25">
        <v>36</v>
      </c>
      <c r="AA493" s="12"/>
    </row>
    <row r="494" spans="1:27" ht="18" x14ac:dyDescent="0.45">
      <c r="A494" s="5">
        <v>492</v>
      </c>
      <c r="B494" s="7" t="s">
        <v>747</v>
      </c>
      <c r="C494" s="2" t="s">
        <v>746</v>
      </c>
      <c r="D494" s="36" t="s">
        <v>119</v>
      </c>
      <c r="E494" s="36"/>
      <c r="F494" s="36"/>
      <c r="G494" s="36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9"/>
      <c r="V494" s="9"/>
      <c r="W494" s="9"/>
      <c r="X494" s="12">
        <v>1</v>
      </c>
      <c r="Y494" s="5"/>
      <c r="Z494" s="25"/>
      <c r="AA494" s="12"/>
    </row>
    <row r="495" spans="1:27" ht="18" x14ac:dyDescent="0.45">
      <c r="A495" s="5">
        <v>493</v>
      </c>
      <c r="B495" s="7">
        <v>461403</v>
      </c>
      <c r="C495" s="2" t="s">
        <v>748</v>
      </c>
      <c r="D495" s="36" t="s">
        <v>119</v>
      </c>
      <c r="E495" s="36"/>
      <c r="F495" s="36"/>
      <c r="G495" s="36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9"/>
      <c r="V495" s="9"/>
      <c r="W495" s="9"/>
      <c r="X495" s="5">
        <v>1</v>
      </c>
      <c r="Y495" s="5"/>
      <c r="Z495" s="25"/>
      <c r="AA495" s="12"/>
    </row>
    <row r="496" spans="1:27" ht="18" x14ac:dyDescent="0.45">
      <c r="A496" s="5">
        <v>494</v>
      </c>
      <c r="B496" s="7">
        <v>462401</v>
      </c>
      <c r="C496" s="2" t="s">
        <v>749</v>
      </c>
      <c r="D496" s="36" t="s">
        <v>119</v>
      </c>
      <c r="E496" s="36"/>
      <c r="F496" s="36"/>
      <c r="G496" s="36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9"/>
      <c r="V496" s="9"/>
      <c r="W496" s="9"/>
      <c r="X496" s="5">
        <v>1</v>
      </c>
      <c r="Y496" s="5"/>
      <c r="Z496" s="25"/>
      <c r="AA496" s="12"/>
    </row>
    <row r="497" spans="1:27" ht="18" x14ac:dyDescent="0.45">
      <c r="A497" s="5">
        <v>495</v>
      </c>
      <c r="B497" s="7" t="s">
        <v>751</v>
      </c>
      <c r="C497" s="2" t="s">
        <v>750</v>
      </c>
      <c r="D497" s="36" t="s">
        <v>77</v>
      </c>
      <c r="E497" s="36"/>
      <c r="F497" s="36"/>
      <c r="G497" s="36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9"/>
      <c r="V497" s="9"/>
      <c r="W497" s="9"/>
      <c r="X497" s="12">
        <v>1</v>
      </c>
      <c r="Y497" s="5"/>
      <c r="Z497" s="25"/>
      <c r="AA497" s="12"/>
    </row>
    <row r="498" spans="1:27" ht="18" x14ac:dyDescent="0.45">
      <c r="A498" s="5">
        <v>496</v>
      </c>
      <c r="B498" s="7">
        <v>460403</v>
      </c>
      <c r="C498" s="2" t="s">
        <v>752</v>
      </c>
      <c r="D498" s="36" t="s">
        <v>77</v>
      </c>
      <c r="E498" s="36"/>
      <c r="F498" s="36"/>
      <c r="G498" s="36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9"/>
      <c r="V498" s="9"/>
      <c r="W498" s="9"/>
      <c r="X498" s="5">
        <v>1</v>
      </c>
      <c r="Y498" s="5"/>
      <c r="Z498" s="25"/>
      <c r="AA498" s="12"/>
    </row>
    <row r="499" spans="1:27" ht="18" x14ac:dyDescent="0.45">
      <c r="A499" s="5">
        <v>497</v>
      </c>
      <c r="B499" s="7">
        <v>460401</v>
      </c>
      <c r="C499" s="2" t="s">
        <v>753</v>
      </c>
      <c r="D499" s="36" t="s">
        <v>77</v>
      </c>
      <c r="E499" s="36"/>
      <c r="F499" s="36"/>
      <c r="G499" s="36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9"/>
      <c r="V499" s="9"/>
      <c r="W499" s="9"/>
      <c r="X499" s="5">
        <v>1</v>
      </c>
      <c r="Y499" s="5"/>
      <c r="Z499" s="25"/>
      <c r="AA499" s="12"/>
    </row>
    <row r="500" spans="1:27" ht="18" x14ac:dyDescent="0.45">
      <c r="A500" s="5">
        <v>498</v>
      </c>
      <c r="B500" s="7">
        <v>462715</v>
      </c>
      <c r="C500" s="2" t="s">
        <v>638</v>
      </c>
      <c r="D500" s="36" t="s">
        <v>70</v>
      </c>
      <c r="E500" s="36"/>
      <c r="F500" s="36"/>
      <c r="G500" s="36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9"/>
      <c r="V500" s="9"/>
      <c r="W500" s="9"/>
      <c r="X500" s="12"/>
      <c r="Y500" s="5"/>
      <c r="Z500" s="25"/>
      <c r="AA500" s="12"/>
    </row>
    <row r="501" spans="1:27" ht="18" x14ac:dyDescent="0.45">
      <c r="A501" s="5">
        <v>499</v>
      </c>
      <c r="B501" s="7">
        <v>462711</v>
      </c>
      <c r="C501" s="2" t="s">
        <v>639</v>
      </c>
      <c r="D501" s="36" t="s">
        <v>70</v>
      </c>
      <c r="E501" s="36"/>
      <c r="F501" s="36"/>
      <c r="G501" s="36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9"/>
      <c r="V501" s="9"/>
      <c r="W501" s="9"/>
      <c r="X501" s="12"/>
      <c r="Y501" s="5"/>
      <c r="Z501" s="25"/>
      <c r="AA501" s="12"/>
    </row>
    <row r="502" spans="1:27" ht="18" x14ac:dyDescent="0.45">
      <c r="A502" s="5">
        <v>500</v>
      </c>
      <c r="B502" s="7">
        <v>462705</v>
      </c>
      <c r="C502" s="2" t="s">
        <v>640</v>
      </c>
      <c r="D502" s="36" t="s">
        <v>70</v>
      </c>
      <c r="E502" s="36"/>
      <c r="F502" s="36"/>
      <c r="G502" s="36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  <c r="U502" s="9"/>
      <c r="V502" s="9"/>
      <c r="W502" s="9"/>
      <c r="X502" s="12"/>
      <c r="Y502" s="5"/>
      <c r="Z502" s="25"/>
      <c r="AA502" s="12"/>
    </row>
    <row r="503" spans="1:27" ht="18" x14ac:dyDescent="0.45">
      <c r="A503" s="5">
        <v>501</v>
      </c>
      <c r="B503" s="7">
        <v>462701</v>
      </c>
      <c r="C503" s="2" t="s">
        <v>641</v>
      </c>
      <c r="D503" s="36" t="s">
        <v>70</v>
      </c>
      <c r="E503" s="36"/>
      <c r="F503" s="36"/>
      <c r="G503" s="36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  <c r="U503" s="9"/>
      <c r="V503" s="9"/>
      <c r="W503" s="9"/>
      <c r="X503" s="12"/>
      <c r="Y503" s="5"/>
      <c r="Z503" s="25"/>
      <c r="AA503" s="12"/>
    </row>
    <row r="504" spans="1:27" ht="18" x14ac:dyDescent="0.45">
      <c r="A504" s="5">
        <v>502</v>
      </c>
      <c r="B504" s="7" t="s">
        <v>754</v>
      </c>
      <c r="C504" s="2" t="s">
        <v>363</v>
      </c>
      <c r="D504" s="36" t="s">
        <v>70</v>
      </c>
      <c r="E504" s="36"/>
      <c r="F504" s="36"/>
      <c r="G504" s="36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9">
        <v>1</v>
      </c>
      <c r="V504" s="9"/>
      <c r="W504" s="9"/>
      <c r="X504" s="12">
        <v>1</v>
      </c>
      <c r="Y504" s="5">
        <v>13</v>
      </c>
      <c r="Z504" s="25">
        <v>62</v>
      </c>
      <c r="AA504" s="12"/>
    </row>
    <row r="505" spans="1:27" ht="18" x14ac:dyDescent="0.45">
      <c r="A505" s="5">
        <v>503</v>
      </c>
      <c r="B505" s="7" t="s">
        <v>755</v>
      </c>
      <c r="C505" s="2" t="s">
        <v>341</v>
      </c>
      <c r="D505" s="36" t="s">
        <v>147</v>
      </c>
      <c r="E505" s="36"/>
      <c r="F505" s="36"/>
      <c r="G505" s="36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  <c r="U505" s="9"/>
      <c r="V505" s="9"/>
      <c r="W505" s="9"/>
      <c r="X505" s="12">
        <v>1</v>
      </c>
      <c r="Y505" s="5"/>
      <c r="Z505" s="25"/>
      <c r="AA505" s="12"/>
    </row>
    <row r="506" spans="1:27" ht="18" x14ac:dyDescent="0.45">
      <c r="A506" s="5">
        <v>504</v>
      </c>
      <c r="B506" s="7">
        <v>520403</v>
      </c>
      <c r="C506" s="2" t="s">
        <v>343</v>
      </c>
      <c r="D506" s="36" t="s">
        <v>147</v>
      </c>
      <c r="E506" s="36"/>
      <c r="F506" s="36"/>
      <c r="G506" s="36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  <c r="U506" s="9"/>
      <c r="V506" s="9"/>
      <c r="W506" s="9"/>
      <c r="X506" s="5">
        <v>1</v>
      </c>
      <c r="Y506" s="5"/>
      <c r="Z506" s="25"/>
      <c r="AA506" s="12"/>
    </row>
    <row r="507" spans="1:27" ht="18" x14ac:dyDescent="0.45">
      <c r="A507" s="5">
        <v>505</v>
      </c>
      <c r="B507" s="7">
        <v>520401</v>
      </c>
      <c r="C507" s="2" t="s">
        <v>344</v>
      </c>
      <c r="D507" s="36" t="s">
        <v>147</v>
      </c>
      <c r="E507" s="36"/>
      <c r="F507" s="36"/>
      <c r="G507" s="36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  <c r="U507" s="9"/>
      <c r="V507" s="9"/>
      <c r="W507" s="9"/>
      <c r="X507" s="5">
        <v>1</v>
      </c>
      <c r="Y507" s="5"/>
      <c r="Z507" s="25"/>
      <c r="AA507" s="12"/>
    </row>
    <row r="508" spans="1:27" ht="18" x14ac:dyDescent="0.45">
      <c r="A508" s="5">
        <v>506</v>
      </c>
      <c r="B508" s="7">
        <v>521405</v>
      </c>
      <c r="C508" s="2" t="s">
        <v>341</v>
      </c>
      <c r="D508" s="36" t="s">
        <v>148</v>
      </c>
      <c r="E508" s="36"/>
      <c r="F508" s="36"/>
      <c r="G508" s="36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  <c r="U508" s="9"/>
      <c r="V508" s="9"/>
      <c r="W508" s="9"/>
      <c r="X508" s="12">
        <v>1</v>
      </c>
      <c r="Y508" s="5"/>
      <c r="Z508" s="25"/>
      <c r="AA508" s="12"/>
    </row>
    <row r="509" spans="1:27" ht="18" x14ac:dyDescent="0.45">
      <c r="A509" s="5">
        <v>507</v>
      </c>
      <c r="B509" s="7">
        <v>521403</v>
      </c>
      <c r="C509" s="2" t="s">
        <v>343</v>
      </c>
      <c r="D509" s="36" t="s">
        <v>148</v>
      </c>
      <c r="E509" s="36"/>
      <c r="F509" s="36"/>
      <c r="G509" s="36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  <c r="U509" s="9"/>
      <c r="V509" s="9"/>
      <c r="W509" s="9"/>
      <c r="X509" s="5">
        <v>1</v>
      </c>
      <c r="Y509" s="5"/>
      <c r="Z509" s="25"/>
      <c r="AA509" s="12"/>
    </row>
    <row r="510" spans="1:27" ht="18" x14ac:dyDescent="0.45">
      <c r="A510" s="5">
        <v>508</v>
      </c>
      <c r="B510" s="7">
        <v>521401</v>
      </c>
      <c r="C510" s="2" t="s">
        <v>344</v>
      </c>
      <c r="D510" s="36" t="s">
        <v>148</v>
      </c>
      <c r="E510" s="36"/>
      <c r="F510" s="36"/>
      <c r="G510" s="36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9"/>
      <c r="V510" s="9"/>
      <c r="W510" s="9"/>
      <c r="X510" s="5">
        <v>1</v>
      </c>
      <c r="Y510" s="5"/>
      <c r="Z510" s="25"/>
      <c r="AA510" s="12"/>
    </row>
    <row r="511" spans="1:27" ht="18" x14ac:dyDescent="0.45">
      <c r="A511" s="5">
        <v>509</v>
      </c>
      <c r="B511" s="7">
        <v>520701</v>
      </c>
      <c r="C511" s="2" t="s">
        <v>641</v>
      </c>
      <c r="D511" s="36" t="s">
        <v>147</v>
      </c>
      <c r="E511" s="36"/>
      <c r="F511" s="36"/>
      <c r="G511" s="36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  <c r="U511" s="9"/>
      <c r="V511" s="9"/>
      <c r="W511" s="9"/>
      <c r="X511" s="12"/>
      <c r="Y511" s="5"/>
      <c r="Z511" s="25"/>
      <c r="AA511" s="12"/>
    </row>
    <row r="512" spans="1:27" ht="18" x14ac:dyDescent="0.45">
      <c r="A512" s="5">
        <v>510</v>
      </c>
      <c r="B512" s="7">
        <v>520705</v>
      </c>
      <c r="C512" s="2" t="s">
        <v>640</v>
      </c>
      <c r="D512" s="36" t="s">
        <v>147</v>
      </c>
      <c r="E512" s="36"/>
      <c r="F512" s="36"/>
      <c r="G512" s="36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  <c r="U512" s="9"/>
      <c r="V512" s="9"/>
      <c r="W512" s="9"/>
      <c r="X512" s="12"/>
      <c r="Y512" s="5"/>
      <c r="Z512" s="25"/>
      <c r="AA512" s="12"/>
    </row>
    <row r="513" spans="1:27" ht="18" x14ac:dyDescent="0.45">
      <c r="A513" s="5">
        <v>511</v>
      </c>
      <c r="B513" s="7">
        <v>520711</v>
      </c>
      <c r="C513" s="2" t="s">
        <v>639</v>
      </c>
      <c r="D513" s="36" t="s">
        <v>147</v>
      </c>
      <c r="E513" s="36"/>
      <c r="F513" s="36"/>
      <c r="G513" s="36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  <c r="U513" s="9"/>
      <c r="V513" s="9"/>
      <c r="W513" s="9"/>
      <c r="X513" s="12"/>
      <c r="Y513" s="5"/>
      <c r="Z513" s="25"/>
      <c r="AA513" s="12"/>
    </row>
    <row r="514" spans="1:27" ht="18" x14ac:dyDescent="0.45">
      <c r="A514" s="5">
        <v>512</v>
      </c>
      <c r="B514" s="7">
        <v>520715</v>
      </c>
      <c r="C514" s="2" t="s">
        <v>638</v>
      </c>
      <c r="D514" s="36" t="s">
        <v>147</v>
      </c>
      <c r="E514" s="36"/>
      <c r="F514" s="36"/>
      <c r="G514" s="36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  <c r="U514" s="9"/>
      <c r="V514" s="9"/>
      <c r="W514" s="9"/>
      <c r="X514" s="12"/>
      <c r="Y514" s="5"/>
      <c r="Z514" s="25"/>
      <c r="AA514" s="12"/>
    </row>
    <row r="515" spans="1:27" ht="18" x14ac:dyDescent="0.45">
      <c r="A515" s="5">
        <v>513</v>
      </c>
      <c r="B515" s="7">
        <v>320715</v>
      </c>
      <c r="C515" s="2" t="s">
        <v>213</v>
      </c>
      <c r="D515" s="36" t="s">
        <v>24</v>
      </c>
      <c r="E515" s="36"/>
      <c r="F515" s="36"/>
      <c r="G515" s="36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  <c r="U515" s="9"/>
      <c r="V515" s="9"/>
      <c r="W515" s="9"/>
      <c r="X515" s="26"/>
      <c r="Y515" s="5"/>
      <c r="Z515" s="25"/>
      <c r="AA515" s="26"/>
    </row>
    <row r="516" spans="1:27" ht="18" x14ac:dyDescent="0.45">
      <c r="A516" s="5">
        <v>514</v>
      </c>
      <c r="B516" s="7">
        <v>320711</v>
      </c>
      <c r="C516" s="2" t="s">
        <v>211</v>
      </c>
      <c r="D516" s="36" t="s">
        <v>24</v>
      </c>
      <c r="E516" s="36"/>
      <c r="F516" s="36"/>
      <c r="G516" s="36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9"/>
      <c r="V516" s="9"/>
      <c r="W516" s="9"/>
      <c r="X516" s="26"/>
      <c r="Y516" s="5"/>
      <c r="Z516" s="25"/>
      <c r="AA516" s="26"/>
    </row>
    <row r="517" spans="1:27" ht="18" x14ac:dyDescent="0.45">
      <c r="A517" s="5">
        <v>515</v>
      </c>
      <c r="B517" s="7">
        <v>320705</v>
      </c>
      <c r="C517" s="2" t="s">
        <v>210</v>
      </c>
      <c r="D517" s="36" t="s">
        <v>24</v>
      </c>
      <c r="E517" s="36"/>
      <c r="F517" s="36"/>
      <c r="G517" s="36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  <c r="U517" s="9"/>
      <c r="V517" s="9"/>
      <c r="W517" s="9"/>
      <c r="X517" s="26"/>
      <c r="Y517" s="5"/>
      <c r="Z517" s="25"/>
      <c r="AA517" s="26"/>
    </row>
    <row r="518" spans="1:27" ht="18" x14ac:dyDescent="0.45">
      <c r="A518" s="5">
        <v>516</v>
      </c>
      <c r="B518" s="7">
        <v>320701</v>
      </c>
      <c r="C518" s="2" t="s">
        <v>756</v>
      </c>
      <c r="D518" s="36" t="s">
        <v>24</v>
      </c>
      <c r="E518" s="36"/>
      <c r="F518" s="36"/>
      <c r="G518" s="36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  <c r="U518" s="9"/>
      <c r="V518" s="9"/>
      <c r="W518" s="9"/>
      <c r="X518" s="26"/>
      <c r="Y518" s="5"/>
      <c r="Z518" s="25"/>
      <c r="AA518" s="26"/>
    </row>
    <row r="519" spans="1:27" ht="18" x14ac:dyDescent="0.45">
      <c r="A519" s="5">
        <v>517</v>
      </c>
      <c r="B519" s="7" t="s">
        <v>758</v>
      </c>
      <c r="C519" s="2" t="s">
        <v>757</v>
      </c>
      <c r="D519" s="36" t="s">
        <v>24</v>
      </c>
      <c r="E519" s="36"/>
      <c r="F519" s="36"/>
      <c r="G519" s="36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  <c r="U519" s="9"/>
      <c r="V519" s="9"/>
      <c r="W519" s="9"/>
      <c r="X519" s="12">
        <v>1</v>
      </c>
      <c r="Y519" s="5"/>
      <c r="Z519" s="25"/>
      <c r="AA519" s="12"/>
    </row>
    <row r="520" spans="1:27" ht="18" x14ac:dyDescent="0.45">
      <c r="A520" s="5">
        <v>518</v>
      </c>
      <c r="B520" s="7" t="s">
        <v>759</v>
      </c>
      <c r="C520" s="2" t="s">
        <v>689</v>
      </c>
      <c r="D520" s="36" t="s">
        <v>24</v>
      </c>
      <c r="E520" s="36"/>
      <c r="F520" s="36"/>
      <c r="G520" s="36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  <c r="U520" s="9">
        <v>0.25</v>
      </c>
      <c r="V520" s="9"/>
      <c r="W520" s="9"/>
      <c r="X520" s="12">
        <v>1</v>
      </c>
      <c r="Y520" s="5">
        <v>5</v>
      </c>
      <c r="Z520" s="25">
        <v>16.899999999999999</v>
      </c>
      <c r="AA520" s="12"/>
    </row>
    <row r="521" spans="1:27" ht="18" x14ac:dyDescent="0.45">
      <c r="A521" s="5">
        <v>519</v>
      </c>
      <c r="B521" s="7">
        <v>320403</v>
      </c>
      <c r="C521" s="2" t="s">
        <v>691</v>
      </c>
      <c r="D521" s="36" t="s">
        <v>24</v>
      </c>
      <c r="E521" s="36"/>
      <c r="F521" s="36"/>
      <c r="G521" s="36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  <c r="U521" s="9">
        <v>0.25</v>
      </c>
      <c r="V521" s="9"/>
      <c r="W521" s="9"/>
      <c r="X521" s="5">
        <v>1</v>
      </c>
      <c r="Y521" s="5">
        <v>5</v>
      </c>
      <c r="Z521" s="25">
        <v>15</v>
      </c>
      <c r="AA521" s="12"/>
    </row>
    <row r="522" spans="1:27" ht="18" x14ac:dyDescent="0.45">
      <c r="A522" s="5">
        <v>520</v>
      </c>
      <c r="B522" s="7">
        <v>320401</v>
      </c>
      <c r="C522" s="2" t="s">
        <v>692</v>
      </c>
      <c r="D522" s="36" t="s">
        <v>24</v>
      </c>
      <c r="E522" s="36"/>
      <c r="F522" s="36"/>
      <c r="G522" s="36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  <c r="U522" s="9"/>
      <c r="V522" s="9"/>
      <c r="W522" s="9"/>
      <c r="X522" s="5">
        <v>1</v>
      </c>
      <c r="Y522" s="5"/>
      <c r="Z522" s="25"/>
      <c r="AA522" s="12"/>
    </row>
    <row r="523" spans="1:27" ht="18" x14ac:dyDescent="0.45">
      <c r="A523" s="5">
        <v>521</v>
      </c>
      <c r="B523" s="7">
        <v>320406</v>
      </c>
      <c r="C523" s="2" t="s">
        <v>98</v>
      </c>
      <c r="D523" s="36" t="s">
        <v>24</v>
      </c>
      <c r="E523" s="36"/>
      <c r="F523" s="36"/>
      <c r="G523" s="36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  <c r="U523" s="9"/>
      <c r="V523" s="9"/>
      <c r="W523" s="9"/>
      <c r="X523" s="12">
        <v>1</v>
      </c>
      <c r="Y523" s="5"/>
      <c r="Z523" s="25"/>
      <c r="AA523" s="12"/>
    </row>
    <row r="524" spans="1:27" ht="18" x14ac:dyDescent="0.45">
      <c r="A524" s="5">
        <v>522</v>
      </c>
      <c r="B524" s="7">
        <v>320404</v>
      </c>
      <c r="C524" s="2" t="s">
        <v>97</v>
      </c>
      <c r="D524" s="36" t="s">
        <v>24</v>
      </c>
      <c r="E524" s="36"/>
      <c r="F524" s="36"/>
      <c r="G524" s="36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  <c r="U524" s="9"/>
      <c r="V524" s="9"/>
      <c r="W524" s="9"/>
      <c r="X524" s="12">
        <v>1</v>
      </c>
      <c r="Y524" s="5"/>
      <c r="Z524" s="25"/>
      <c r="AA524" s="12"/>
    </row>
    <row r="525" spans="1:27" ht="18" x14ac:dyDescent="0.45">
      <c r="A525" s="5">
        <v>523</v>
      </c>
      <c r="B525" s="7">
        <v>320402</v>
      </c>
      <c r="C525" s="2" t="s">
        <v>96</v>
      </c>
      <c r="D525" s="36" t="s">
        <v>24</v>
      </c>
      <c r="E525" s="36"/>
      <c r="F525" s="36"/>
      <c r="G525" s="36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  <c r="U525" s="9"/>
      <c r="V525" s="9"/>
      <c r="W525" s="9"/>
      <c r="X525" s="12">
        <v>1</v>
      </c>
      <c r="Y525" s="5"/>
      <c r="Z525" s="25"/>
      <c r="AA525" s="12"/>
    </row>
    <row r="526" spans="1:27" ht="18" x14ac:dyDescent="0.45">
      <c r="A526" s="5">
        <v>524</v>
      </c>
      <c r="B526" s="7">
        <v>0</v>
      </c>
      <c r="C526" s="2" t="s">
        <v>760</v>
      </c>
      <c r="D526" s="36" t="s">
        <v>24</v>
      </c>
      <c r="E526" s="36"/>
      <c r="F526" s="36"/>
      <c r="G526" s="36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  <c r="U526" s="9"/>
      <c r="V526" s="9"/>
      <c r="W526" s="9"/>
      <c r="X526" s="12"/>
      <c r="Y526" s="5"/>
      <c r="Z526" s="25"/>
      <c r="AA526" s="12"/>
    </row>
    <row r="527" spans="1:27" ht="18" x14ac:dyDescent="0.45">
      <c r="A527" s="5">
        <v>525</v>
      </c>
      <c r="B527" s="7">
        <v>0</v>
      </c>
      <c r="C527" s="2" t="s">
        <v>761</v>
      </c>
      <c r="D527" s="36" t="s">
        <v>24</v>
      </c>
      <c r="E527" s="36"/>
      <c r="F527" s="36"/>
      <c r="G527" s="36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  <c r="U527" s="9"/>
      <c r="V527" s="9"/>
      <c r="W527" s="9"/>
      <c r="X527" s="12"/>
      <c r="Y527" s="5"/>
      <c r="Z527" s="25"/>
      <c r="AA527" s="12"/>
    </row>
    <row r="528" spans="1:27" ht="18" x14ac:dyDescent="0.45">
      <c r="A528" s="5">
        <v>526</v>
      </c>
      <c r="B528" s="7" t="s">
        <v>762</v>
      </c>
      <c r="C528" s="2" t="s">
        <v>689</v>
      </c>
      <c r="D528" s="36" t="s">
        <v>763</v>
      </c>
      <c r="E528" s="36"/>
      <c r="F528" s="36"/>
      <c r="G528" s="36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  <c r="U528" s="9">
        <v>0.16666666666666666</v>
      </c>
      <c r="V528" s="9"/>
      <c r="W528" s="9"/>
      <c r="X528" s="12">
        <v>1</v>
      </c>
      <c r="Y528" s="5">
        <v>5</v>
      </c>
      <c r="Z528" s="25">
        <v>16.5</v>
      </c>
      <c r="AA528" s="12"/>
    </row>
    <row r="529" spans="1:27" ht="18" x14ac:dyDescent="0.45">
      <c r="A529" s="5">
        <v>527</v>
      </c>
      <c r="B529" s="7">
        <v>301403</v>
      </c>
      <c r="C529" s="2" t="s">
        <v>691</v>
      </c>
      <c r="D529" s="36" t="s">
        <v>763</v>
      </c>
      <c r="E529" s="36"/>
      <c r="F529" s="36"/>
      <c r="G529" s="36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  <c r="U529" s="9">
        <v>0.25</v>
      </c>
      <c r="V529" s="9"/>
      <c r="W529" s="9"/>
      <c r="X529" s="5">
        <v>1</v>
      </c>
      <c r="Y529" s="5"/>
      <c r="Z529" s="25"/>
      <c r="AA529" s="12"/>
    </row>
    <row r="530" spans="1:27" ht="18" x14ac:dyDescent="0.45">
      <c r="A530" s="5">
        <v>528</v>
      </c>
      <c r="B530" s="7">
        <v>301401</v>
      </c>
      <c r="C530" s="2" t="s">
        <v>692</v>
      </c>
      <c r="D530" s="36" t="s">
        <v>763</v>
      </c>
      <c r="E530" s="36"/>
      <c r="F530" s="36"/>
      <c r="G530" s="36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  <c r="U530" s="9">
        <v>0.25</v>
      </c>
      <c r="V530" s="9"/>
      <c r="W530" s="9"/>
      <c r="X530" s="5">
        <v>1</v>
      </c>
      <c r="Y530" s="5"/>
      <c r="Z530" s="25"/>
      <c r="AA530" s="12"/>
    </row>
    <row r="531" spans="1:27" ht="18" x14ac:dyDescent="0.45">
      <c r="A531" s="5">
        <v>529</v>
      </c>
      <c r="B531" s="7" t="s">
        <v>764</v>
      </c>
      <c r="C531" s="2" t="s">
        <v>757</v>
      </c>
      <c r="D531" s="36" t="s">
        <v>763</v>
      </c>
      <c r="E531" s="36"/>
      <c r="F531" s="36"/>
      <c r="G531" s="36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  <c r="U531" s="9"/>
      <c r="V531" s="9"/>
      <c r="W531" s="9"/>
      <c r="X531" s="12">
        <v>1</v>
      </c>
      <c r="Y531" s="5"/>
      <c r="Z531" s="25"/>
      <c r="AA531" s="12"/>
    </row>
    <row r="532" spans="1:27" ht="18" x14ac:dyDescent="0.45">
      <c r="A532" s="5">
        <v>530</v>
      </c>
      <c r="B532" s="7">
        <v>301715</v>
      </c>
      <c r="C532" s="2" t="s">
        <v>213</v>
      </c>
      <c r="D532" s="36" t="s">
        <v>763</v>
      </c>
      <c r="E532" s="36"/>
      <c r="F532" s="36"/>
      <c r="G532" s="36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9"/>
      <c r="V532" s="9"/>
      <c r="W532" s="9"/>
      <c r="X532" s="26"/>
      <c r="Y532" s="5"/>
      <c r="Z532" s="25"/>
      <c r="AA532" s="26"/>
    </row>
    <row r="533" spans="1:27" ht="18" x14ac:dyDescent="0.45">
      <c r="A533" s="5">
        <v>531</v>
      </c>
      <c r="B533" s="7">
        <v>301711</v>
      </c>
      <c r="C533" s="2" t="s">
        <v>211</v>
      </c>
      <c r="D533" s="36" t="s">
        <v>763</v>
      </c>
      <c r="E533" s="36"/>
      <c r="F533" s="36"/>
      <c r="G533" s="36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9"/>
      <c r="V533" s="9"/>
      <c r="W533" s="9"/>
      <c r="X533" s="26"/>
      <c r="Y533" s="5"/>
      <c r="Z533" s="25"/>
      <c r="AA533" s="26"/>
    </row>
    <row r="534" spans="1:27" ht="18" x14ac:dyDescent="0.45">
      <c r="A534" s="5">
        <v>532</v>
      </c>
      <c r="B534" s="7">
        <v>301705</v>
      </c>
      <c r="C534" s="2" t="s">
        <v>210</v>
      </c>
      <c r="D534" s="36" t="s">
        <v>763</v>
      </c>
      <c r="E534" s="36"/>
      <c r="F534" s="36"/>
      <c r="G534" s="36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  <c r="U534" s="9"/>
      <c r="V534" s="9"/>
      <c r="W534" s="9"/>
      <c r="X534" s="26"/>
      <c r="Y534" s="5"/>
      <c r="Z534" s="25"/>
      <c r="AA534" s="26"/>
    </row>
    <row r="535" spans="1:27" ht="18" x14ac:dyDescent="0.45">
      <c r="A535" s="5">
        <v>533</v>
      </c>
      <c r="B535" s="7">
        <v>301701</v>
      </c>
      <c r="C535" s="2" t="s">
        <v>756</v>
      </c>
      <c r="D535" s="36" t="s">
        <v>763</v>
      </c>
      <c r="E535" s="36"/>
      <c r="F535" s="36"/>
      <c r="G535" s="36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  <c r="U535" s="9"/>
      <c r="V535" s="9"/>
      <c r="W535" s="9"/>
      <c r="X535" s="26"/>
      <c r="Y535" s="5"/>
      <c r="Z535" s="25"/>
      <c r="AA535" s="26"/>
    </row>
    <row r="536" spans="1:27" ht="18" x14ac:dyDescent="0.45">
      <c r="A536" s="5">
        <v>534</v>
      </c>
      <c r="B536" s="7" t="s">
        <v>765</v>
      </c>
      <c r="C536" s="2" t="s">
        <v>689</v>
      </c>
      <c r="D536" s="36" t="s">
        <v>766</v>
      </c>
      <c r="E536" s="36"/>
      <c r="F536" s="36"/>
      <c r="G536" s="36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  <c r="U536" s="9"/>
      <c r="V536" s="9"/>
      <c r="W536" s="9"/>
      <c r="X536" s="12">
        <v>1</v>
      </c>
      <c r="Y536" s="5"/>
      <c r="Z536" s="25"/>
      <c r="AA536" s="12"/>
    </row>
    <row r="537" spans="1:27" ht="18" x14ac:dyDescent="0.45">
      <c r="A537" s="5">
        <v>535</v>
      </c>
      <c r="B537" s="7">
        <v>311403</v>
      </c>
      <c r="C537" s="2" t="s">
        <v>691</v>
      </c>
      <c r="D537" s="36" t="s">
        <v>766</v>
      </c>
      <c r="E537" s="36"/>
      <c r="F537" s="36"/>
      <c r="G537" s="36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  <c r="U537" s="9"/>
      <c r="V537" s="9"/>
      <c r="W537" s="9"/>
      <c r="X537" s="5">
        <v>1</v>
      </c>
      <c r="Y537" s="5"/>
      <c r="Z537" s="25"/>
      <c r="AA537" s="12"/>
    </row>
    <row r="538" spans="1:27" ht="18" x14ac:dyDescent="0.45">
      <c r="A538" s="5">
        <v>536</v>
      </c>
      <c r="B538" s="7">
        <v>311401</v>
      </c>
      <c r="C538" s="2" t="s">
        <v>692</v>
      </c>
      <c r="D538" s="36" t="s">
        <v>766</v>
      </c>
      <c r="E538" s="36"/>
      <c r="F538" s="36"/>
      <c r="G538" s="36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9"/>
      <c r="V538" s="9"/>
      <c r="W538" s="9"/>
      <c r="X538" s="5">
        <v>1</v>
      </c>
      <c r="Y538" s="5"/>
      <c r="Z538" s="25"/>
      <c r="AA538" s="12"/>
    </row>
    <row r="539" spans="1:27" ht="18" x14ac:dyDescent="0.45">
      <c r="A539" s="5">
        <v>537</v>
      </c>
      <c r="B539" s="7">
        <v>311406</v>
      </c>
      <c r="C539" s="2" t="s">
        <v>98</v>
      </c>
      <c r="D539" s="36" t="s">
        <v>766</v>
      </c>
      <c r="E539" s="36"/>
      <c r="F539" s="36"/>
      <c r="G539" s="36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  <c r="U539" s="9"/>
      <c r="V539" s="9"/>
      <c r="W539" s="9"/>
      <c r="X539" s="12">
        <v>1</v>
      </c>
      <c r="Y539" s="5"/>
      <c r="Z539" s="25"/>
      <c r="AA539" s="12"/>
    </row>
    <row r="540" spans="1:27" ht="18" x14ac:dyDescent="0.45">
      <c r="A540" s="5">
        <v>538</v>
      </c>
      <c r="B540" s="7">
        <v>311404</v>
      </c>
      <c r="C540" s="2" t="s">
        <v>97</v>
      </c>
      <c r="D540" s="36" t="s">
        <v>766</v>
      </c>
      <c r="E540" s="36"/>
      <c r="F540" s="36"/>
      <c r="G540" s="36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  <c r="U540" s="9"/>
      <c r="V540" s="9"/>
      <c r="W540" s="9"/>
      <c r="X540" s="12">
        <v>1</v>
      </c>
      <c r="Y540" s="5"/>
      <c r="Z540" s="25"/>
      <c r="AA540" s="12"/>
    </row>
    <row r="541" spans="1:27" ht="18" x14ac:dyDescent="0.45">
      <c r="A541" s="5">
        <v>539</v>
      </c>
      <c r="B541" s="7">
        <v>311402</v>
      </c>
      <c r="C541" s="2" t="s">
        <v>96</v>
      </c>
      <c r="D541" s="36" t="s">
        <v>766</v>
      </c>
      <c r="E541" s="36"/>
      <c r="F541" s="36"/>
      <c r="G541" s="36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  <c r="U541" s="9"/>
      <c r="V541" s="9"/>
      <c r="W541" s="9"/>
      <c r="X541" s="12">
        <v>1</v>
      </c>
      <c r="Y541" s="5"/>
      <c r="Z541" s="25"/>
      <c r="AA541" s="12"/>
    </row>
    <row r="542" spans="1:27" ht="18" x14ac:dyDescent="0.45">
      <c r="A542" s="5">
        <v>540</v>
      </c>
      <c r="B542" s="7" t="s">
        <v>767</v>
      </c>
      <c r="C542" s="2" t="s">
        <v>689</v>
      </c>
      <c r="D542" s="36" t="s">
        <v>768</v>
      </c>
      <c r="E542" s="36"/>
      <c r="F542" s="36"/>
      <c r="G542" s="36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  <c r="U542" s="9"/>
      <c r="V542" s="9"/>
      <c r="W542" s="9"/>
      <c r="X542" s="12">
        <v>1</v>
      </c>
      <c r="Y542" s="5"/>
      <c r="Z542" s="25"/>
      <c r="AA542" s="12"/>
    </row>
    <row r="543" spans="1:27" ht="18" x14ac:dyDescent="0.45">
      <c r="A543" s="5">
        <v>541</v>
      </c>
      <c r="B543" s="7">
        <v>310403</v>
      </c>
      <c r="C543" s="2" t="s">
        <v>691</v>
      </c>
      <c r="D543" s="36" t="s">
        <v>768</v>
      </c>
      <c r="E543" s="36"/>
      <c r="F543" s="36"/>
      <c r="G543" s="36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  <c r="U543" s="9"/>
      <c r="V543" s="9"/>
      <c r="W543" s="9"/>
      <c r="X543" s="5">
        <v>1</v>
      </c>
      <c r="Y543" s="5"/>
      <c r="Z543" s="25"/>
      <c r="AA543" s="12"/>
    </row>
    <row r="544" spans="1:27" ht="18" x14ac:dyDescent="0.45">
      <c r="A544" s="5">
        <v>542</v>
      </c>
      <c r="B544" s="7">
        <v>310401</v>
      </c>
      <c r="C544" s="2" t="s">
        <v>692</v>
      </c>
      <c r="D544" s="36" t="s">
        <v>768</v>
      </c>
      <c r="E544" s="36"/>
      <c r="F544" s="36"/>
      <c r="G544" s="36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9"/>
      <c r="V544" s="9"/>
      <c r="W544" s="9"/>
      <c r="X544" s="5">
        <v>1</v>
      </c>
      <c r="Y544" s="5"/>
      <c r="Z544" s="25"/>
      <c r="AA544" s="12"/>
    </row>
    <row r="545" spans="1:27" ht="18" x14ac:dyDescent="0.45">
      <c r="A545" s="5">
        <v>543</v>
      </c>
      <c r="B545" s="7">
        <v>310406</v>
      </c>
      <c r="C545" s="2" t="s">
        <v>98</v>
      </c>
      <c r="D545" s="36" t="s">
        <v>768</v>
      </c>
      <c r="E545" s="36"/>
      <c r="F545" s="36"/>
      <c r="G545" s="36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  <c r="U545" s="9"/>
      <c r="V545" s="9"/>
      <c r="W545" s="9"/>
      <c r="X545" s="12">
        <v>1</v>
      </c>
      <c r="Y545" s="5"/>
      <c r="Z545" s="25"/>
      <c r="AA545" s="12"/>
    </row>
    <row r="546" spans="1:27" ht="18" x14ac:dyDescent="0.45">
      <c r="A546" s="5">
        <v>544</v>
      </c>
      <c r="B546" s="7">
        <v>310404</v>
      </c>
      <c r="C546" s="2" t="s">
        <v>97</v>
      </c>
      <c r="D546" s="36" t="s">
        <v>768</v>
      </c>
      <c r="E546" s="36"/>
      <c r="F546" s="36"/>
      <c r="G546" s="36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  <c r="U546" s="9"/>
      <c r="V546" s="9"/>
      <c r="W546" s="9"/>
      <c r="X546" s="12">
        <v>1</v>
      </c>
      <c r="Y546" s="5"/>
      <c r="Z546" s="25"/>
      <c r="AA546" s="12"/>
    </row>
    <row r="547" spans="1:27" ht="18" x14ac:dyDescent="0.45">
      <c r="A547" s="5">
        <v>545</v>
      </c>
      <c r="B547" s="7">
        <v>310402</v>
      </c>
      <c r="C547" s="2" t="s">
        <v>96</v>
      </c>
      <c r="D547" s="36" t="s">
        <v>768</v>
      </c>
      <c r="E547" s="36"/>
      <c r="F547" s="36"/>
      <c r="G547" s="36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9"/>
      <c r="V547" s="9"/>
      <c r="W547" s="9"/>
      <c r="X547" s="12">
        <v>1</v>
      </c>
      <c r="Y547" s="5"/>
      <c r="Z547" s="25"/>
      <c r="AA547" s="12"/>
    </row>
    <row r="548" spans="1:27" ht="18" x14ac:dyDescent="0.45">
      <c r="A548" s="5">
        <v>546</v>
      </c>
      <c r="B548" s="7" t="s">
        <v>769</v>
      </c>
      <c r="C548" s="2" t="s">
        <v>689</v>
      </c>
      <c r="D548" s="36" t="s">
        <v>161</v>
      </c>
      <c r="E548" s="36"/>
      <c r="F548" s="36"/>
      <c r="G548" s="36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9"/>
      <c r="V548" s="9"/>
      <c r="W548" s="9"/>
      <c r="X548" s="12">
        <v>1</v>
      </c>
      <c r="Y548" s="5"/>
      <c r="Z548" s="25"/>
      <c r="AA548" s="12"/>
    </row>
    <row r="549" spans="1:27" ht="18" x14ac:dyDescent="0.45">
      <c r="A549" s="5">
        <v>547</v>
      </c>
      <c r="B549" s="7">
        <v>341403</v>
      </c>
      <c r="C549" s="2" t="s">
        <v>691</v>
      </c>
      <c r="D549" s="36" t="s">
        <v>161</v>
      </c>
      <c r="E549" s="36"/>
      <c r="F549" s="36"/>
      <c r="G549" s="36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9"/>
      <c r="V549" s="9"/>
      <c r="W549" s="9"/>
      <c r="X549" s="5">
        <v>1</v>
      </c>
      <c r="Y549" s="5"/>
      <c r="Z549" s="25"/>
      <c r="AA549" s="12"/>
    </row>
    <row r="550" spans="1:27" ht="18" x14ac:dyDescent="0.45">
      <c r="A550" s="5">
        <v>548</v>
      </c>
      <c r="B550" s="7">
        <v>341401</v>
      </c>
      <c r="C550" s="2" t="s">
        <v>692</v>
      </c>
      <c r="D550" s="36" t="s">
        <v>161</v>
      </c>
      <c r="E550" s="36"/>
      <c r="F550" s="36"/>
      <c r="G550" s="36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9"/>
      <c r="V550" s="9"/>
      <c r="W550" s="9"/>
      <c r="X550" s="5">
        <v>1</v>
      </c>
      <c r="Y550" s="5"/>
      <c r="Z550" s="25"/>
      <c r="AA550" s="12"/>
    </row>
    <row r="551" spans="1:27" ht="18" x14ac:dyDescent="0.45">
      <c r="A551" s="5">
        <v>549</v>
      </c>
      <c r="B551" s="7">
        <v>341406</v>
      </c>
      <c r="C551" s="2" t="s">
        <v>98</v>
      </c>
      <c r="D551" s="36" t="s">
        <v>161</v>
      </c>
      <c r="E551" s="36"/>
      <c r="F551" s="36"/>
      <c r="G551" s="36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9"/>
      <c r="V551" s="9"/>
      <c r="W551" s="9"/>
      <c r="X551" s="12">
        <v>1</v>
      </c>
      <c r="Y551" s="5"/>
      <c r="Z551" s="25"/>
      <c r="AA551" s="12"/>
    </row>
    <row r="552" spans="1:27" ht="18" x14ac:dyDescent="0.45">
      <c r="A552" s="5">
        <v>550</v>
      </c>
      <c r="B552" s="7">
        <v>341404</v>
      </c>
      <c r="C552" s="2" t="s">
        <v>97</v>
      </c>
      <c r="D552" s="36" t="s">
        <v>161</v>
      </c>
      <c r="E552" s="36"/>
      <c r="F552" s="36"/>
      <c r="G552" s="36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9"/>
      <c r="V552" s="9"/>
      <c r="W552" s="9"/>
      <c r="X552" s="12">
        <v>1</v>
      </c>
      <c r="Y552" s="5"/>
      <c r="Z552" s="25"/>
      <c r="AA552" s="12"/>
    </row>
    <row r="553" spans="1:27" ht="18" x14ac:dyDescent="0.45">
      <c r="A553" s="5">
        <v>551</v>
      </c>
      <c r="B553" s="7">
        <v>341402</v>
      </c>
      <c r="C553" s="2" t="s">
        <v>96</v>
      </c>
      <c r="D553" s="36" t="s">
        <v>161</v>
      </c>
      <c r="E553" s="36"/>
      <c r="F553" s="36"/>
      <c r="G553" s="36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9"/>
      <c r="V553" s="9"/>
      <c r="W553" s="9"/>
      <c r="X553" s="12">
        <v>1</v>
      </c>
      <c r="Y553" s="5"/>
      <c r="Z553" s="25"/>
      <c r="AA553" s="12"/>
    </row>
    <row r="554" spans="1:27" ht="18" x14ac:dyDescent="0.45">
      <c r="A554" s="5">
        <v>552</v>
      </c>
      <c r="B554" s="7" t="s">
        <v>770</v>
      </c>
      <c r="C554" s="2" t="s">
        <v>689</v>
      </c>
      <c r="D554" s="36" t="s">
        <v>82</v>
      </c>
      <c r="E554" s="36"/>
      <c r="F554" s="36"/>
      <c r="G554" s="36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9"/>
      <c r="V554" s="9"/>
      <c r="W554" s="9"/>
      <c r="X554" s="12">
        <v>1</v>
      </c>
      <c r="Y554" s="5"/>
      <c r="Z554" s="25"/>
      <c r="AA554" s="12"/>
    </row>
    <row r="555" spans="1:27" ht="18" x14ac:dyDescent="0.45">
      <c r="A555" s="5">
        <v>553</v>
      </c>
      <c r="B555" s="7">
        <v>203403</v>
      </c>
      <c r="C555" s="2" t="s">
        <v>691</v>
      </c>
      <c r="D555" s="36" t="s">
        <v>82</v>
      </c>
      <c r="E555" s="36"/>
      <c r="F555" s="36"/>
      <c r="G555" s="36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9"/>
      <c r="V555" s="9"/>
      <c r="W555" s="9"/>
      <c r="X555" s="5">
        <v>1</v>
      </c>
      <c r="Y555" s="5"/>
      <c r="Z555" s="25"/>
      <c r="AA555" s="12"/>
    </row>
    <row r="556" spans="1:27" ht="18" x14ac:dyDescent="0.45">
      <c r="A556" s="5">
        <v>554</v>
      </c>
      <c r="B556" s="7">
        <v>203401</v>
      </c>
      <c r="C556" s="2" t="s">
        <v>692</v>
      </c>
      <c r="D556" s="36" t="s">
        <v>82</v>
      </c>
      <c r="E556" s="36"/>
      <c r="F556" s="36"/>
      <c r="G556" s="36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9"/>
      <c r="V556" s="9"/>
      <c r="W556" s="9"/>
      <c r="X556" s="5">
        <v>1</v>
      </c>
      <c r="Y556" s="5"/>
      <c r="Z556" s="25"/>
      <c r="AA556" s="12"/>
    </row>
    <row r="557" spans="1:27" ht="18" x14ac:dyDescent="0.45">
      <c r="A557" s="5">
        <v>555</v>
      </c>
      <c r="B557" s="7">
        <v>203406</v>
      </c>
      <c r="C557" s="2" t="s">
        <v>98</v>
      </c>
      <c r="D557" s="36" t="s">
        <v>82</v>
      </c>
      <c r="E557" s="36"/>
      <c r="F557" s="36"/>
      <c r="G557" s="36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9"/>
      <c r="V557" s="9"/>
      <c r="W557" s="9"/>
      <c r="X557" s="12">
        <v>1</v>
      </c>
      <c r="Y557" s="5"/>
      <c r="Z557" s="25"/>
      <c r="AA557" s="12"/>
    </row>
    <row r="558" spans="1:27" ht="18" x14ac:dyDescent="0.45">
      <c r="A558" s="5">
        <v>556</v>
      </c>
      <c r="B558" s="7">
        <v>203404</v>
      </c>
      <c r="C558" s="2" t="s">
        <v>97</v>
      </c>
      <c r="D558" s="36" t="s">
        <v>82</v>
      </c>
      <c r="E558" s="36"/>
      <c r="F558" s="36"/>
      <c r="G558" s="36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9"/>
      <c r="V558" s="9"/>
      <c r="W558" s="9"/>
      <c r="X558" s="12">
        <v>1</v>
      </c>
      <c r="Y558" s="5"/>
      <c r="Z558" s="25"/>
      <c r="AA558" s="12"/>
    </row>
    <row r="559" spans="1:27" ht="18" x14ac:dyDescent="0.45">
      <c r="A559" s="5">
        <v>557</v>
      </c>
      <c r="B559" s="7">
        <v>203402</v>
      </c>
      <c r="C559" s="2" t="s">
        <v>96</v>
      </c>
      <c r="D559" s="36" t="s">
        <v>82</v>
      </c>
      <c r="E559" s="36"/>
      <c r="F559" s="36"/>
      <c r="G559" s="36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  <c r="U559" s="9"/>
      <c r="V559" s="9"/>
      <c r="W559" s="9"/>
      <c r="X559" s="12">
        <v>1</v>
      </c>
      <c r="Y559" s="5"/>
      <c r="Z559" s="25"/>
      <c r="AA559" s="12"/>
    </row>
    <row r="560" spans="1:27" ht="18" x14ac:dyDescent="0.45">
      <c r="A560" s="5">
        <v>558</v>
      </c>
      <c r="B560" s="7">
        <v>330405</v>
      </c>
      <c r="C560" s="2" t="s">
        <v>771</v>
      </c>
      <c r="D560" s="36" t="s">
        <v>223</v>
      </c>
      <c r="E560" s="36"/>
      <c r="F560" s="36"/>
      <c r="G560" s="36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9"/>
      <c r="V560" s="9"/>
      <c r="W560" s="9"/>
      <c r="X560" s="12">
        <v>1</v>
      </c>
      <c r="Y560" s="5"/>
      <c r="Z560" s="25"/>
      <c r="AA560" s="12"/>
    </row>
    <row r="561" spans="1:27" ht="18" x14ac:dyDescent="0.45">
      <c r="A561" s="5">
        <v>559</v>
      </c>
      <c r="B561" s="7">
        <v>330403</v>
      </c>
      <c r="C561" s="2" t="s">
        <v>772</v>
      </c>
      <c r="D561" s="36" t="s">
        <v>223</v>
      </c>
      <c r="E561" s="36"/>
      <c r="F561" s="36"/>
      <c r="G561" s="36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9"/>
      <c r="V561" s="9"/>
      <c r="W561" s="9"/>
      <c r="X561" s="5">
        <v>1</v>
      </c>
      <c r="Y561" s="5"/>
      <c r="Z561" s="25"/>
      <c r="AA561" s="12"/>
    </row>
    <row r="562" spans="1:27" ht="18" x14ac:dyDescent="0.45">
      <c r="A562" s="5">
        <v>560</v>
      </c>
      <c r="B562" s="7">
        <v>330401</v>
      </c>
      <c r="C562" s="2" t="s">
        <v>773</v>
      </c>
      <c r="D562" s="36" t="s">
        <v>223</v>
      </c>
      <c r="E562" s="36"/>
      <c r="F562" s="36"/>
      <c r="G562" s="36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9"/>
      <c r="V562" s="9"/>
      <c r="W562" s="9"/>
      <c r="X562" s="5">
        <v>1</v>
      </c>
      <c r="Y562" s="5"/>
      <c r="Z562" s="25"/>
      <c r="AA562" s="12"/>
    </row>
    <row r="563" spans="1:27" ht="18" x14ac:dyDescent="0.45">
      <c r="A563" s="5">
        <v>561</v>
      </c>
      <c r="B563" s="7">
        <v>330406</v>
      </c>
      <c r="C563" s="2" t="s">
        <v>98</v>
      </c>
      <c r="D563" s="36" t="s">
        <v>223</v>
      </c>
      <c r="E563" s="36"/>
      <c r="F563" s="36"/>
      <c r="G563" s="36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  <c r="U563" s="9"/>
      <c r="V563" s="9"/>
      <c r="W563" s="9"/>
      <c r="X563" s="5">
        <v>1</v>
      </c>
      <c r="Y563" s="5"/>
      <c r="Z563" s="25"/>
      <c r="AA563" s="12"/>
    </row>
    <row r="564" spans="1:27" ht="18" x14ac:dyDescent="0.45">
      <c r="A564" s="5">
        <v>562</v>
      </c>
      <c r="B564" s="7">
        <v>330404</v>
      </c>
      <c r="C564" s="2" t="s">
        <v>97</v>
      </c>
      <c r="D564" s="36" t="s">
        <v>223</v>
      </c>
      <c r="E564" s="36"/>
      <c r="F564" s="36"/>
      <c r="G564" s="36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9"/>
      <c r="V564" s="9"/>
      <c r="W564" s="9"/>
      <c r="X564" s="5">
        <v>1</v>
      </c>
      <c r="Y564" s="5"/>
      <c r="Z564" s="25"/>
      <c r="AA564" s="12"/>
    </row>
    <row r="565" spans="1:27" ht="18" x14ac:dyDescent="0.45">
      <c r="A565" s="5">
        <v>563</v>
      </c>
      <c r="B565" s="7">
        <v>330402</v>
      </c>
      <c r="C565" s="2" t="s">
        <v>96</v>
      </c>
      <c r="D565" s="36" t="s">
        <v>223</v>
      </c>
      <c r="E565" s="36"/>
      <c r="F565" s="36"/>
      <c r="G565" s="36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  <c r="U565" s="9"/>
      <c r="V565" s="9"/>
      <c r="W565" s="9"/>
      <c r="X565" s="5">
        <v>1</v>
      </c>
      <c r="Y565" s="5"/>
      <c r="Z565" s="25"/>
      <c r="AA565" s="12"/>
    </row>
    <row r="566" spans="1:27" ht="18" x14ac:dyDescent="0.45">
      <c r="A566" s="5">
        <v>564</v>
      </c>
      <c r="B566" s="7">
        <v>330715</v>
      </c>
      <c r="C566" s="2" t="s">
        <v>638</v>
      </c>
      <c r="D566" s="36" t="s">
        <v>223</v>
      </c>
      <c r="E566" s="36"/>
      <c r="F566" s="36"/>
      <c r="G566" s="36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  <c r="U566" s="9"/>
      <c r="V566" s="9"/>
      <c r="W566" s="9"/>
      <c r="X566" s="5"/>
      <c r="Y566" s="5"/>
      <c r="Z566" s="25"/>
      <c r="AA566" s="26"/>
    </row>
    <row r="567" spans="1:27" ht="18" x14ac:dyDescent="0.45">
      <c r="A567" s="5">
        <v>565</v>
      </c>
      <c r="B567" s="7">
        <v>330711</v>
      </c>
      <c r="C567" s="2" t="s">
        <v>639</v>
      </c>
      <c r="D567" s="36" t="s">
        <v>223</v>
      </c>
      <c r="E567" s="36"/>
      <c r="F567" s="36"/>
      <c r="G567" s="36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  <c r="U567" s="9"/>
      <c r="V567" s="9"/>
      <c r="W567" s="9"/>
      <c r="X567" s="5"/>
      <c r="Y567" s="5"/>
      <c r="Z567" s="25"/>
      <c r="AA567" s="26"/>
    </row>
    <row r="568" spans="1:27" ht="18" x14ac:dyDescent="0.45">
      <c r="A568" s="5">
        <v>566</v>
      </c>
      <c r="B568" s="7">
        <v>330705</v>
      </c>
      <c r="C568" s="2" t="s">
        <v>640</v>
      </c>
      <c r="D568" s="36" t="s">
        <v>223</v>
      </c>
      <c r="E568" s="36"/>
      <c r="F568" s="36"/>
      <c r="G568" s="36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  <c r="U568" s="9"/>
      <c r="V568" s="9"/>
      <c r="W568" s="9"/>
      <c r="X568" s="5"/>
      <c r="Y568" s="5"/>
      <c r="Z568" s="25"/>
      <c r="AA568" s="26"/>
    </row>
    <row r="569" spans="1:27" ht="18" x14ac:dyDescent="0.45">
      <c r="A569" s="5">
        <v>567</v>
      </c>
      <c r="B569" s="7">
        <v>330701</v>
      </c>
      <c r="C569" s="2" t="s">
        <v>641</v>
      </c>
      <c r="D569" s="36" t="s">
        <v>223</v>
      </c>
      <c r="E569" s="36"/>
      <c r="F569" s="36"/>
      <c r="G569" s="36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  <c r="U569" s="9"/>
      <c r="V569" s="9"/>
      <c r="W569" s="9"/>
      <c r="X569" s="5"/>
      <c r="Y569" s="5"/>
      <c r="Z569" s="25"/>
      <c r="AA569" s="26"/>
    </row>
    <row r="570" spans="1:27" ht="18" x14ac:dyDescent="0.45">
      <c r="A570" s="5">
        <v>568</v>
      </c>
      <c r="B570" s="7" t="s">
        <v>775</v>
      </c>
      <c r="C570" s="2" t="s">
        <v>774</v>
      </c>
      <c r="D570" s="36" t="s">
        <v>223</v>
      </c>
      <c r="E570" s="36"/>
      <c r="F570" s="36"/>
      <c r="G570" s="36"/>
      <c r="H570" s="36"/>
      <c r="I570" s="36"/>
      <c r="J570" s="36"/>
      <c r="K570" s="36"/>
      <c r="L570" s="36"/>
      <c r="M570" s="36"/>
      <c r="N570" s="36"/>
      <c r="O570" s="36"/>
      <c r="P570" s="36"/>
      <c r="Q570" s="36"/>
      <c r="R570" s="36"/>
      <c r="S570" s="36"/>
      <c r="T570" s="36"/>
      <c r="U570" s="9"/>
      <c r="V570" s="9"/>
      <c r="W570" s="9"/>
      <c r="X570" s="5"/>
      <c r="Y570" s="5"/>
      <c r="Z570" s="25"/>
      <c r="AA570" s="12"/>
    </row>
    <row r="571" spans="1:27" ht="18" x14ac:dyDescent="0.45">
      <c r="A571" s="5">
        <v>569</v>
      </c>
      <c r="B571" s="7">
        <v>331405</v>
      </c>
      <c r="C571" s="2" t="s">
        <v>771</v>
      </c>
      <c r="D571" s="36" t="s">
        <v>224</v>
      </c>
      <c r="E571" s="36"/>
      <c r="F571" s="36"/>
      <c r="G571" s="36"/>
      <c r="H571" s="36"/>
      <c r="I571" s="36"/>
      <c r="J571" s="36"/>
      <c r="K571" s="36"/>
      <c r="L571" s="36"/>
      <c r="M571" s="36"/>
      <c r="N571" s="36"/>
      <c r="O571" s="36"/>
      <c r="P571" s="36"/>
      <c r="Q571" s="36"/>
      <c r="R571" s="36"/>
      <c r="S571" s="36"/>
      <c r="T571" s="36"/>
      <c r="U571" s="9"/>
      <c r="V571" s="9"/>
      <c r="W571" s="9"/>
      <c r="X571" s="5">
        <v>1</v>
      </c>
      <c r="Y571" s="5"/>
      <c r="Z571" s="25"/>
      <c r="AA571" s="12"/>
    </row>
    <row r="572" spans="1:27" ht="18" x14ac:dyDescent="0.45">
      <c r="A572" s="5">
        <v>570</v>
      </c>
      <c r="B572" s="7">
        <v>331403</v>
      </c>
      <c r="C572" s="2" t="s">
        <v>772</v>
      </c>
      <c r="D572" s="36" t="s">
        <v>224</v>
      </c>
      <c r="E572" s="36"/>
      <c r="F572" s="36"/>
      <c r="G572" s="36"/>
      <c r="H572" s="36"/>
      <c r="I572" s="36"/>
      <c r="J572" s="36"/>
      <c r="K572" s="36"/>
      <c r="L572" s="36"/>
      <c r="M572" s="36"/>
      <c r="N572" s="36"/>
      <c r="O572" s="36"/>
      <c r="P572" s="36"/>
      <c r="Q572" s="36"/>
      <c r="R572" s="36"/>
      <c r="S572" s="36"/>
      <c r="T572" s="36"/>
      <c r="U572" s="9"/>
      <c r="V572" s="9"/>
      <c r="W572" s="9"/>
      <c r="X572" s="5">
        <v>1</v>
      </c>
      <c r="Y572" s="5"/>
      <c r="Z572" s="25"/>
      <c r="AA572" s="12"/>
    </row>
    <row r="573" spans="1:27" ht="18" x14ac:dyDescent="0.45">
      <c r="A573" s="5">
        <v>571</v>
      </c>
      <c r="B573" s="7">
        <v>331401</v>
      </c>
      <c r="C573" s="2" t="s">
        <v>773</v>
      </c>
      <c r="D573" s="36" t="s">
        <v>224</v>
      </c>
      <c r="E573" s="36"/>
      <c r="F573" s="36"/>
      <c r="G573" s="36"/>
      <c r="H573" s="36"/>
      <c r="I573" s="36"/>
      <c r="J573" s="36"/>
      <c r="K573" s="36"/>
      <c r="L573" s="36"/>
      <c r="M573" s="36"/>
      <c r="N573" s="36"/>
      <c r="O573" s="36"/>
      <c r="P573" s="36"/>
      <c r="Q573" s="36"/>
      <c r="R573" s="36"/>
      <c r="S573" s="36"/>
      <c r="T573" s="36"/>
      <c r="U573" s="9"/>
      <c r="V573" s="9"/>
      <c r="W573" s="9"/>
      <c r="X573" s="5">
        <v>1</v>
      </c>
      <c r="Y573" s="5"/>
      <c r="Z573" s="25"/>
      <c r="AA573" s="12"/>
    </row>
    <row r="574" spans="1:27" ht="18" x14ac:dyDescent="0.45">
      <c r="A574" s="5">
        <v>572</v>
      </c>
      <c r="B574" s="7">
        <v>331406</v>
      </c>
      <c r="C574" s="2" t="s">
        <v>98</v>
      </c>
      <c r="D574" s="36" t="s">
        <v>224</v>
      </c>
      <c r="E574" s="36"/>
      <c r="F574" s="36"/>
      <c r="G574" s="36"/>
      <c r="H574" s="36"/>
      <c r="I574" s="36"/>
      <c r="J574" s="36"/>
      <c r="K574" s="36"/>
      <c r="L574" s="36"/>
      <c r="M574" s="36"/>
      <c r="N574" s="36"/>
      <c r="O574" s="36"/>
      <c r="P574" s="36"/>
      <c r="Q574" s="36"/>
      <c r="R574" s="36"/>
      <c r="S574" s="36"/>
      <c r="T574" s="36"/>
      <c r="U574" s="9"/>
      <c r="V574" s="9"/>
      <c r="W574" s="9"/>
      <c r="X574" s="5">
        <v>1</v>
      </c>
      <c r="Y574" s="5"/>
      <c r="Z574" s="25"/>
      <c r="AA574" s="12"/>
    </row>
    <row r="575" spans="1:27" ht="18" x14ac:dyDescent="0.45">
      <c r="A575" s="5">
        <v>573</v>
      </c>
      <c r="B575" s="7">
        <v>331404</v>
      </c>
      <c r="C575" s="2" t="s">
        <v>97</v>
      </c>
      <c r="D575" s="36" t="s">
        <v>224</v>
      </c>
      <c r="E575" s="36"/>
      <c r="F575" s="36"/>
      <c r="G575" s="36"/>
      <c r="H575" s="36"/>
      <c r="I575" s="36"/>
      <c r="J575" s="36"/>
      <c r="K575" s="36"/>
      <c r="L575" s="36"/>
      <c r="M575" s="36"/>
      <c r="N575" s="36"/>
      <c r="O575" s="36"/>
      <c r="P575" s="36"/>
      <c r="Q575" s="36"/>
      <c r="R575" s="36"/>
      <c r="S575" s="36"/>
      <c r="T575" s="36"/>
      <c r="U575" s="9"/>
      <c r="V575" s="9"/>
      <c r="W575" s="9"/>
      <c r="X575" s="5">
        <v>1</v>
      </c>
      <c r="Y575" s="5"/>
      <c r="Z575" s="25"/>
      <c r="AA575" s="12"/>
    </row>
    <row r="576" spans="1:27" ht="18" x14ac:dyDescent="0.45">
      <c r="A576" s="5">
        <v>574</v>
      </c>
      <c r="B576" s="7">
        <v>331402</v>
      </c>
      <c r="C576" s="2" t="s">
        <v>96</v>
      </c>
      <c r="D576" s="36" t="s">
        <v>224</v>
      </c>
      <c r="E576" s="36"/>
      <c r="F576" s="36"/>
      <c r="G576" s="36"/>
      <c r="H576" s="36"/>
      <c r="I576" s="36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  <c r="U576" s="9"/>
      <c r="V576" s="9"/>
      <c r="W576" s="9"/>
      <c r="X576" s="5">
        <v>1</v>
      </c>
      <c r="Y576" s="5"/>
      <c r="Z576" s="25"/>
      <c r="AA576" s="12"/>
    </row>
    <row r="577" spans="1:28" ht="18" x14ac:dyDescent="0.45">
      <c r="A577" s="5">
        <v>575</v>
      </c>
      <c r="B577" s="19">
        <v>911507</v>
      </c>
      <c r="C577" s="2" t="s">
        <v>776</v>
      </c>
      <c r="D577" s="36" t="s">
        <v>68</v>
      </c>
      <c r="E577" s="36"/>
      <c r="F577" s="36"/>
      <c r="G577" s="36"/>
      <c r="H577" s="36"/>
      <c r="I577" s="36"/>
      <c r="J577" s="36"/>
      <c r="K577" s="36"/>
      <c r="L577" s="36"/>
      <c r="M577" s="36"/>
      <c r="N577" s="36"/>
      <c r="O577" s="36"/>
      <c r="P577" s="36"/>
      <c r="Q577" s="36"/>
      <c r="R577" s="36"/>
      <c r="S577" s="36"/>
      <c r="T577" s="36"/>
      <c r="U577" s="9"/>
      <c r="V577" s="9"/>
      <c r="W577" s="9"/>
      <c r="X577" s="5">
        <v>1</v>
      </c>
      <c r="Y577" s="5"/>
      <c r="Z577" s="25"/>
      <c r="AA577" s="30"/>
    </row>
    <row r="578" spans="1:28" ht="18" x14ac:dyDescent="0.45">
      <c r="A578" s="5">
        <v>576</v>
      </c>
      <c r="B578" s="19">
        <v>921507</v>
      </c>
      <c r="C578" s="2" t="s">
        <v>777</v>
      </c>
      <c r="D578" s="36" t="s">
        <v>68</v>
      </c>
      <c r="E578" s="36"/>
      <c r="F578" s="36"/>
      <c r="G578" s="36"/>
      <c r="H578" s="36"/>
      <c r="I578" s="36"/>
      <c r="J578" s="36"/>
      <c r="K578" s="36"/>
      <c r="L578" s="36"/>
      <c r="M578" s="36"/>
      <c r="N578" s="36"/>
      <c r="O578" s="36"/>
      <c r="P578" s="36"/>
      <c r="Q578" s="36"/>
      <c r="R578" s="36"/>
      <c r="S578" s="36"/>
      <c r="T578" s="36"/>
      <c r="U578" s="9"/>
      <c r="V578" s="9"/>
      <c r="W578" s="9"/>
      <c r="X578" s="5">
        <v>1</v>
      </c>
      <c r="Y578" s="5"/>
      <c r="Z578" s="25">
        <v>27</v>
      </c>
      <c r="AA578" s="30"/>
    </row>
    <row r="579" spans="1:28" ht="18" x14ac:dyDescent="0.45">
      <c r="A579" s="5">
        <v>577</v>
      </c>
      <c r="B579" s="19">
        <v>922507</v>
      </c>
      <c r="C579" s="2" t="s">
        <v>778</v>
      </c>
      <c r="D579" s="36" t="s">
        <v>68</v>
      </c>
      <c r="E579" s="36"/>
      <c r="F579" s="36"/>
      <c r="G579" s="36"/>
      <c r="H579" s="36"/>
      <c r="I579" s="36"/>
      <c r="J579" s="36"/>
      <c r="K579" s="36"/>
      <c r="L579" s="36"/>
      <c r="M579" s="36"/>
      <c r="N579" s="36"/>
      <c r="O579" s="36"/>
      <c r="P579" s="36"/>
      <c r="Q579" s="36"/>
      <c r="R579" s="36"/>
      <c r="S579" s="36"/>
      <c r="T579" s="36"/>
      <c r="U579" s="9"/>
      <c r="V579" s="9"/>
      <c r="W579" s="9"/>
      <c r="X579" s="5">
        <v>1</v>
      </c>
      <c r="Y579" s="5"/>
      <c r="Z579" s="25"/>
      <c r="AA579" s="30"/>
    </row>
    <row r="580" spans="1:28" ht="18" x14ac:dyDescent="0.45">
      <c r="A580" s="5">
        <v>578</v>
      </c>
      <c r="B580" s="19">
        <v>912507</v>
      </c>
      <c r="C580" s="2" t="s">
        <v>779</v>
      </c>
      <c r="D580" s="36" t="s">
        <v>68</v>
      </c>
      <c r="E580" s="36"/>
      <c r="F580" s="36"/>
      <c r="G580" s="36"/>
      <c r="H580" s="36"/>
      <c r="I580" s="36"/>
      <c r="J580" s="36"/>
      <c r="K580" s="36"/>
      <c r="L580" s="36"/>
      <c r="M580" s="36"/>
      <c r="N580" s="36"/>
      <c r="O580" s="36"/>
      <c r="P580" s="36"/>
      <c r="Q580" s="36"/>
      <c r="R580" s="36"/>
      <c r="S580" s="36"/>
      <c r="T580" s="36"/>
      <c r="U580" s="9"/>
      <c r="V580" s="9"/>
      <c r="W580" s="9"/>
      <c r="X580" s="5">
        <v>1</v>
      </c>
      <c r="Y580" s="5"/>
      <c r="Z580" s="25"/>
      <c r="AA580" s="30"/>
    </row>
    <row r="581" spans="1:28" ht="18" x14ac:dyDescent="0.45">
      <c r="A581" s="5">
        <f>ROW(B581)</f>
        <v>581</v>
      </c>
      <c r="B581" s="109" t="s">
        <v>1487</v>
      </c>
      <c r="C581" s="110" t="s">
        <v>780</v>
      </c>
      <c r="D581" s="36" t="s">
        <v>781</v>
      </c>
      <c r="E581" s="36"/>
      <c r="F581" s="36" t="s">
        <v>1500</v>
      </c>
      <c r="G581" s="36"/>
      <c r="H581" s="36"/>
      <c r="I581" s="36"/>
      <c r="J581" s="36"/>
      <c r="K581" s="36"/>
      <c r="L581" s="36">
        <v>3899</v>
      </c>
      <c r="M581" s="36">
        <v>18408</v>
      </c>
      <c r="N581" s="36"/>
      <c r="O581" s="36">
        <v>13800</v>
      </c>
      <c r="P581" s="36"/>
      <c r="Q581" s="36"/>
      <c r="R581" s="36">
        <v>679</v>
      </c>
      <c r="S581" s="36"/>
      <c r="T581" s="114"/>
      <c r="U581" s="9">
        <v>0.22916666666666666</v>
      </c>
      <c r="V581" s="9">
        <v>8.3333333333333329E-2</v>
      </c>
      <c r="W581" s="9">
        <v>1.3888888888888888E-2</v>
      </c>
      <c r="X581" s="5">
        <v>1</v>
      </c>
      <c r="Y581" s="5"/>
      <c r="Z581" s="116">
        <v>30</v>
      </c>
      <c r="AA581" s="117">
        <v>1</v>
      </c>
    </row>
    <row r="582" spans="1:28" ht="18" x14ac:dyDescent="0.45">
      <c r="A582" s="5">
        <v>580</v>
      </c>
      <c r="B582" s="111" t="s">
        <v>1485</v>
      </c>
      <c r="C582" s="110" t="s">
        <v>782</v>
      </c>
      <c r="D582" s="36" t="s">
        <v>781</v>
      </c>
      <c r="E582" s="36"/>
      <c r="F582" s="36" t="s">
        <v>1501</v>
      </c>
      <c r="G582" s="36"/>
      <c r="H582" s="36"/>
      <c r="I582" s="36"/>
      <c r="J582" s="36"/>
      <c r="K582" s="36"/>
      <c r="L582" s="36">
        <v>3899</v>
      </c>
      <c r="M582" s="36">
        <v>9560</v>
      </c>
      <c r="N582" s="36"/>
      <c r="O582" s="36">
        <v>11427</v>
      </c>
      <c r="P582" s="36"/>
      <c r="Q582" s="36"/>
      <c r="R582" s="36">
        <v>679</v>
      </c>
      <c r="S582" s="36"/>
      <c r="T582" s="114" t="s">
        <v>1484</v>
      </c>
      <c r="U582" s="9">
        <v>0.20833333333333334</v>
      </c>
      <c r="V582" s="9">
        <v>8.3333333333333329E-2</v>
      </c>
      <c r="W582" s="9">
        <v>1.3888888888888888E-2</v>
      </c>
      <c r="X582" s="5">
        <v>1</v>
      </c>
      <c r="Y582" s="5"/>
      <c r="Z582" s="25">
        <v>30</v>
      </c>
      <c r="AA582" s="117">
        <v>1</v>
      </c>
      <c r="AB582" s="117">
        <f>ROW(AA582)</f>
        <v>582</v>
      </c>
    </row>
    <row r="583" spans="1:28" ht="18" x14ac:dyDescent="0.45">
      <c r="A583" s="5">
        <v>581</v>
      </c>
      <c r="B583" s="19">
        <v>922508</v>
      </c>
      <c r="C583" s="2" t="s">
        <v>783</v>
      </c>
      <c r="D583" s="36" t="s">
        <v>781</v>
      </c>
      <c r="E583" s="36"/>
      <c r="F583" s="36"/>
      <c r="G583" s="36"/>
      <c r="H583" s="36"/>
      <c r="I583" s="36"/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  <c r="U583" s="9"/>
      <c r="V583" s="9"/>
      <c r="W583" s="9"/>
      <c r="X583" s="5">
        <v>1</v>
      </c>
      <c r="Y583" s="5"/>
      <c r="Z583" s="25"/>
      <c r="AA583" s="30"/>
    </row>
    <row r="584" spans="1:28" ht="18" x14ac:dyDescent="0.45">
      <c r="A584" s="5">
        <f>ROW(B584)</f>
        <v>584</v>
      </c>
      <c r="B584" s="111" t="s">
        <v>1470</v>
      </c>
      <c r="C584" s="110" t="s">
        <v>784</v>
      </c>
      <c r="D584" s="36" t="s">
        <v>781</v>
      </c>
      <c r="E584" s="107" t="s">
        <v>1471</v>
      </c>
      <c r="F584" s="36" t="s">
        <v>1502</v>
      </c>
      <c r="G584" s="107" t="s">
        <v>1477</v>
      </c>
      <c r="H584" s="107" t="s">
        <v>1478</v>
      </c>
      <c r="I584" s="107" t="s">
        <v>1479</v>
      </c>
      <c r="J584" s="107" t="s">
        <v>1480</v>
      </c>
      <c r="K584" s="107"/>
      <c r="L584" s="36">
        <v>3888</v>
      </c>
      <c r="M584" s="36">
        <v>9594</v>
      </c>
      <c r="N584" s="36"/>
      <c r="O584" s="36">
        <v>12362</v>
      </c>
      <c r="P584" s="36"/>
      <c r="Q584" s="36"/>
      <c r="R584" s="36">
        <v>679</v>
      </c>
      <c r="S584" s="107"/>
      <c r="T584" s="114" t="s">
        <v>1484</v>
      </c>
      <c r="U584" s="9">
        <v>0.20833333333333334</v>
      </c>
      <c r="V584" s="9">
        <v>6.25E-2</v>
      </c>
      <c r="W584" s="9">
        <v>1.3888888888888888E-2</v>
      </c>
      <c r="X584" s="5">
        <v>1</v>
      </c>
      <c r="Y584" s="5"/>
      <c r="Z584" s="116">
        <v>25</v>
      </c>
      <c r="AA584" s="117">
        <v>1</v>
      </c>
    </row>
    <row r="585" spans="1:28" ht="18" x14ac:dyDescent="0.45">
      <c r="A585" s="5">
        <v>583</v>
      </c>
      <c r="B585" s="19">
        <v>921511</v>
      </c>
      <c r="C585" s="2" t="s">
        <v>683</v>
      </c>
      <c r="D585" s="36" t="s">
        <v>785</v>
      </c>
      <c r="E585" s="36"/>
      <c r="F585" s="36"/>
      <c r="G585" s="36"/>
      <c r="H585" s="36"/>
      <c r="I585" s="36"/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  <c r="U585" s="9"/>
      <c r="V585" s="9"/>
      <c r="W585" s="9"/>
      <c r="X585" s="5">
        <v>1</v>
      </c>
      <c r="Y585" s="5"/>
      <c r="Z585" s="25"/>
      <c r="AA585" s="30"/>
    </row>
    <row r="586" spans="1:28" ht="18" x14ac:dyDescent="0.45">
      <c r="A586" s="5">
        <v>584</v>
      </c>
      <c r="B586" s="109" t="s">
        <v>1486</v>
      </c>
      <c r="C586" s="110" t="s">
        <v>684</v>
      </c>
      <c r="D586" s="36" t="s">
        <v>785</v>
      </c>
      <c r="E586" s="36"/>
      <c r="F586" s="36" t="s">
        <v>1503</v>
      </c>
      <c r="G586" s="36"/>
      <c r="H586" s="36"/>
      <c r="I586" s="36"/>
      <c r="J586" s="36"/>
      <c r="K586" s="36"/>
      <c r="L586" s="36">
        <v>4690</v>
      </c>
      <c r="M586" s="36">
        <v>10088</v>
      </c>
      <c r="N586" s="36"/>
      <c r="O586" s="36">
        <v>14229</v>
      </c>
      <c r="P586" s="36"/>
      <c r="Q586" s="36"/>
      <c r="R586" s="36">
        <v>679</v>
      </c>
      <c r="S586" s="36"/>
      <c r="T586" s="114" t="s">
        <v>1498</v>
      </c>
      <c r="U586" s="9">
        <v>0.22916666666666666</v>
      </c>
      <c r="V586" s="9">
        <v>8.3333333333333329E-2</v>
      </c>
      <c r="W586" s="9">
        <v>1.3888888888888888E-2</v>
      </c>
      <c r="X586" s="5">
        <v>1</v>
      </c>
      <c r="Y586" s="5"/>
      <c r="Z586" s="116">
        <v>40</v>
      </c>
      <c r="AA586" s="117">
        <v>1</v>
      </c>
    </row>
    <row r="587" spans="1:28" ht="18" x14ac:dyDescent="0.45">
      <c r="A587" s="5">
        <v>585</v>
      </c>
      <c r="B587" s="19">
        <v>922511</v>
      </c>
      <c r="C587" s="2" t="s">
        <v>685</v>
      </c>
      <c r="D587" s="36" t="s">
        <v>785</v>
      </c>
      <c r="E587" s="36"/>
      <c r="F587" s="36"/>
      <c r="G587" s="36"/>
      <c r="H587" s="36"/>
      <c r="I587" s="36"/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  <c r="U587" s="9"/>
      <c r="V587" s="9"/>
      <c r="W587" s="9"/>
      <c r="X587" s="5">
        <v>1</v>
      </c>
      <c r="Y587" s="5"/>
      <c r="Z587" s="25"/>
      <c r="AA587" s="30"/>
    </row>
    <row r="588" spans="1:28" ht="18" x14ac:dyDescent="0.45">
      <c r="A588" s="5">
        <v>586</v>
      </c>
      <c r="B588" s="19">
        <v>912511</v>
      </c>
      <c r="C588" s="2" t="s">
        <v>686</v>
      </c>
      <c r="D588" s="36" t="s">
        <v>785</v>
      </c>
      <c r="E588" s="36"/>
      <c r="F588" s="36"/>
      <c r="G588" s="36"/>
      <c r="H588" s="36"/>
      <c r="I588" s="36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  <c r="U588" s="9"/>
      <c r="V588" s="9"/>
      <c r="W588" s="9"/>
      <c r="X588" s="5">
        <v>1</v>
      </c>
      <c r="Y588" s="5"/>
      <c r="Z588" s="25"/>
      <c r="AA588" s="30"/>
    </row>
    <row r="589" spans="1:28" ht="18" x14ac:dyDescent="0.45">
      <c r="A589" s="5">
        <v>587</v>
      </c>
      <c r="B589" s="19">
        <v>921512</v>
      </c>
      <c r="C589" s="2" t="s">
        <v>786</v>
      </c>
      <c r="D589" s="36" t="s">
        <v>787</v>
      </c>
      <c r="E589" s="36"/>
      <c r="F589" s="36"/>
      <c r="G589" s="36"/>
      <c r="H589" s="36"/>
      <c r="I589" s="36"/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  <c r="U589" s="9"/>
      <c r="V589" s="9"/>
      <c r="W589" s="9"/>
      <c r="X589" s="5">
        <v>1</v>
      </c>
      <c r="Y589" s="5"/>
      <c r="Z589" s="25"/>
      <c r="AA589" s="30"/>
    </row>
    <row r="590" spans="1:28" ht="18" x14ac:dyDescent="0.45">
      <c r="A590" s="5">
        <v>588</v>
      </c>
      <c r="B590" s="19">
        <v>911512</v>
      </c>
      <c r="C590" s="2" t="s">
        <v>788</v>
      </c>
      <c r="D590" s="36" t="s">
        <v>787</v>
      </c>
      <c r="E590" s="36"/>
      <c r="F590" s="36"/>
      <c r="G590" s="36"/>
      <c r="H590" s="36"/>
      <c r="I590" s="36"/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  <c r="U590" s="9"/>
      <c r="V590" s="9"/>
      <c r="W590" s="9"/>
      <c r="X590" s="5">
        <v>1</v>
      </c>
      <c r="Y590" s="5"/>
      <c r="Z590" s="25"/>
      <c r="AA590" s="30"/>
    </row>
    <row r="591" spans="1:28" ht="18" x14ac:dyDescent="0.45">
      <c r="A591" s="5">
        <v>589</v>
      </c>
      <c r="B591" s="19">
        <v>921513</v>
      </c>
      <c r="C591" s="2" t="s">
        <v>789</v>
      </c>
      <c r="D591" s="36" t="s">
        <v>55</v>
      </c>
      <c r="E591" s="36"/>
      <c r="F591" s="36"/>
      <c r="G591" s="36"/>
      <c r="H591" s="36"/>
      <c r="I591" s="36"/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  <c r="U591" s="9"/>
      <c r="V591" s="9"/>
      <c r="W591" s="9"/>
      <c r="X591" s="5">
        <v>1</v>
      </c>
      <c r="Y591" s="5"/>
      <c r="Z591" s="25"/>
      <c r="AA591" s="30"/>
    </row>
    <row r="592" spans="1:28" ht="18" x14ac:dyDescent="0.45">
      <c r="A592" s="5">
        <v>590</v>
      </c>
      <c r="B592" s="19">
        <v>911513</v>
      </c>
      <c r="C592" s="2" t="s">
        <v>790</v>
      </c>
      <c r="D592" s="36" t="s">
        <v>55</v>
      </c>
      <c r="E592" s="36"/>
      <c r="F592" s="36"/>
      <c r="G592" s="36"/>
      <c r="H592" s="36"/>
      <c r="I592" s="36"/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  <c r="U592" s="9"/>
      <c r="V592" s="9"/>
      <c r="W592" s="9"/>
      <c r="X592" s="5">
        <v>1</v>
      </c>
      <c r="Y592" s="5"/>
      <c r="Z592" s="25"/>
      <c r="AA592" s="30"/>
    </row>
    <row r="593" spans="1:27" ht="18" x14ac:dyDescent="0.45">
      <c r="A593" s="5">
        <v>591</v>
      </c>
      <c r="B593" s="19">
        <v>922513</v>
      </c>
      <c r="C593" s="2" t="s">
        <v>791</v>
      </c>
      <c r="D593" s="36" t="s">
        <v>55</v>
      </c>
      <c r="E593" s="36"/>
      <c r="F593" s="36"/>
      <c r="G593" s="36"/>
      <c r="H593" s="36"/>
      <c r="I593" s="36"/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  <c r="U593" s="9"/>
      <c r="V593" s="9"/>
      <c r="W593" s="9"/>
      <c r="X593" s="5">
        <v>1</v>
      </c>
      <c r="Y593" s="5"/>
      <c r="Z593" s="25"/>
      <c r="AA593" s="30"/>
    </row>
    <row r="594" spans="1:27" ht="18" x14ac:dyDescent="0.45">
      <c r="A594" s="5">
        <v>592</v>
      </c>
      <c r="B594" s="19">
        <v>912513</v>
      </c>
      <c r="C594" s="2" t="s">
        <v>792</v>
      </c>
      <c r="D594" s="36" t="s">
        <v>55</v>
      </c>
      <c r="E594" s="36"/>
      <c r="F594" s="36"/>
      <c r="G594" s="36"/>
      <c r="H594" s="36"/>
      <c r="I594" s="36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  <c r="U594" s="9"/>
      <c r="V594" s="9"/>
      <c r="W594" s="9"/>
      <c r="X594" s="5">
        <v>1</v>
      </c>
      <c r="Y594" s="5"/>
      <c r="Z594" s="25"/>
      <c r="AA594" s="30"/>
    </row>
    <row r="595" spans="1:27" ht="18" x14ac:dyDescent="0.45">
      <c r="A595" s="5">
        <v>593</v>
      </c>
      <c r="B595" s="21">
        <v>921514</v>
      </c>
      <c r="C595" s="13" t="s">
        <v>793</v>
      </c>
      <c r="D595" s="36" t="s">
        <v>794</v>
      </c>
      <c r="E595" s="36"/>
      <c r="F595" s="36"/>
      <c r="G595" s="36"/>
      <c r="H595" s="36"/>
      <c r="I595" s="36"/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  <c r="U595" s="9"/>
      <c r="V595" s="9"/>
      <c r="W595" s="9"/>
      <c r="X595" s="5">
        <v>1</v>
      </c>
      <c r="Y595" s="5"/>
      <c r="Z595" s="25"/>
      <c r="AA595" s="30"/>
    </row>
    <row r="596" spans="1:27" ht="36" x14ac:dyDescent="0.45">
      <c r="A596" s="5">
        <v>594</v>
      </c>
      <c r="B596" s="21">
        <v>911514</v>
      </c>
      <c r="C596" s="13" t="s">
        <v>795</v>
      </c>
      <c r="D596" s="36" t="s">
        <v>794</v>
      </c>
      <c r="E596" s="36"/>
      <c r="F596" s="36"/>
      <c r="G596" s="36"/>
      <c r="H596" s="36"/>
      <c r="I596" s="36"/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  <c r="U596" s="9"/>
      <c r="V596" s="9"/>
      <c r="W596" s="9"/>
      <c r="X596" s="5">
        <v>1</v>
      </c>
      <c r="Y596" s="5"/>
      <c r="Z596" s="25"/>
      <c r="AA596" s="30"/>
    </row>
    <row r="597" spans="1:27" ht="36" x14ac:dyDescent="0.45">
      <c r="A597" s="5">
        <v>595</v>
      </c>
      <c r="B597" s="21">
        <v>922514</v>
      </c>
      <c r="C597" s="13" t="s">
        <v>796</v>
      </c>
      <c r="D597" s="36" t="s">
        <v>794</v>
      </c>
      <c r="E597" s="36"/>
      <c r="F597" s="36"/>
      <c r="G597" s="36"/>
      <c r="H597" s="36"/>
      <c r="I597" s="36"/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  <c r="U597" s="9"/>
      <c r="V597" s="9"/>
      <c r="W597" s="9"/>
      <c r="X597" s="5">
        <v>1</v>
      </c>
      <c r="Y597" s="5"/>
      <c r="Z597" s="25"/>
      <c r="AA597" s="30"/>
    </row>
    <row r="598" spans="1:27" ht="36" x14ac:dyDescent="0.45">
      <c r="A598" s="5">
        <v>596</v>
      </c>
      <c r="B598" s="21" t="s">
        <v>1469</v>
      </c>
      <c r="C598" s="13" t="s">
        <v>797</v>
      </c>
      <c r="D598" s="36" t="s">
        <v>794</v>
      </c>
      <c r="E598" s="36"/>
      <c r="F598" s="36"/>
      <c r="G598" s="36"/>
      <c r="H598" s="36"/>
      <c r="I598" s="36"/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  <c r="U598" s="9"/>
      <c r="V598" s="9"/>
      <c r="W598" s="9"/>
      <c r="X598" s="5">
        <v>1</v>
      </c>
      <c r="Y598" s="5"/>
      <c r="Z598" s="25"/>
      <c r="AA598" s="30"/>
    </row>
    <row r="599" spans="1:27" ht="36" x14ac:dyDescent="0.45">
      <c r="A599" s="5">
        <v>597</v>
      </c>
      <c r="B599" s="21">
        <v>921408</v>
      </c>
      <c r="C599" s="13" t="s">
        <v>798</v>
      </c>
      <c r="D599" s="36" t="s">
        <v>15</v>
      </c>
      <c r="E599" s="36"/>
      <c r="F599" s="36"/>
      <c r="G599" s="36"/>
      <c r="H599" s="36"/>
      <c r="I599" s="36"/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  <c r="U599" s="9"/>
      <c r="V599" s="9"/>
      <c r="W599" s="9"/>
      <c r="X599" s="5">
        <v>1</v>
      </c>
      <c r="Y599" s="5"/>
      <c r="Z599" s="25"/>
      <c r="AA599" s="30"/>
    </row>
    <row r="600" spans="1:27" ht="36" x14ac:dyDescent="0.45">
      <c r="A600" s="5">
        <v>598</v>
      </c>
      <c r="B600" s="21">
        <v>911408</v>
      </c>
      <c r="C600" s="13" t="s">
        <v>799</v>
      </c>
      <c r="D600" s="36" t="s">
        <v>15</v>
      </c>
      <c r="E600" s="36"/>
      <c r="F600" s="36"/>
      <c r="G600" s="36"/>
      <c r="H600" s="36"/>
      <c r="I600" s="36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  <c r="U600" s="9"/>
      <c r="V600" s="9"/>
      <c r="W600" s="9"/>
      <c r="X600" s="5">
        <v>1</v>
      </c>
      <c r="Y600" s="5"/>
      <c r="Z600" s="25"/>
      <c r="AA600" s="30"/>
    </row>
    <row r="601" spans="1:27" ht="18" x14ac:dyDescent="0.45">
      <c r="A601" s="5">
        <v>599</v>
      </c>
      <c r="B601" s="21">
        <v>922810</v>
      </c>
      <c r="C601" s="13" t="s">
        <v>800</v>
      </c>
      <c r="D601" s="36" t="s">
        <v>48</v>
      </c>
      <c r="E601" s="36"/>
      <c r="F601" s="36"/>
      <c r="G601" s="36"/>
      <c r="H601" s="36"/>
      <c r="I601" s="36"/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  <c r="U601" s="9"/>
      <c r="V601" s="9"/>
      <c r="W601" s="9"/>
      <c r="X601" s="5">
        <v>1</v>
      </c>
      <c r="Y601" s="5"/>
      <c r="Z601" s="25"/>
      <c r="AA601" s="30"/>
    </row>
    <row r="602" spans="1:27" ht="18" x14ac:dyDescent="0.45">
      <c r="A602" s="5">
        <v>600</v>
      </c>
      <c r="B602" s="21">
        <v>912810</v>
      </c>
      <c r="C602" s="13" t="s">
        <v>801</v>
      </c>
      <c r="D602" s="36" t="s">
        <v>48</v>
      </c>
      <c r="E602" s="36"/>
      <c r="F602" s="36"/>
      <c r="G602" s="36"/>
      <c r="H602" s="36"/>
      <c r="I602" s="36"/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  <c r="U602" s="9"/>
      <c r="V602" s="9"/>
      <c r="W602" s="9"/>
      <c r="X602" s="5">
        <v>1</v>
      </c>
      <c r="Y602" s="5"/>
      <c r="Z602" s="25"/>
      <c r="AA602" s="30"/>
    </row>
    <row r="603" spans="1:27" ht="18" x14ac:dyDescent="0.4">
      <c r="A603" s="5">
        <v>601</v>
      </c>
      <c r="B603" s="19">
        <v>921505</v>
      </c>
      <c r="C603" s="18" t="s">
        <v>476</v>
      </c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  <c r="U603" s="9"/>
      <c r="V603" s="9"/>
      <c r="W603" s="9"/>
      <c r="X603" s="5">
        <v>1</v>
      </c>
      <c r="Y603" s="5"/>
      <c r="Z603" s="25"/>
      <c r="AA603" s="30"/>
    </row>
    <row r="604" spans="1:27" ht="18" x14ac:dyDescent="0.4">
      <c r="A604" s="5">
        <v>602</v>
      </c>
      <c r="B604" s="19">
        <v>911505</v>
      </c>
      <c r="C604" s="18" t="s">
        <v>477</v>
      </c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  <c r="U604" s="9"/>
      <c r="V604" s="9"/>
      <c r="W604" s="9"/>
      <c r="X604" s="5">
        <v>1</v>
      </c>
      <c r="Y604" s="5"/>
      <c r="Z604" s="25"/>
      <c r="AA604" s="30"/>
    </row>
    <row r="605" spans="1:27" ht="31.5" x14ac:dyDescent="0.4">
      <c r="A605" s="5">
        <v>603</v>
      </c>
      <c r="B605" s="21">
        <v>921405</v>
      </c>
      <c r="C605" s="20" t="s">
        <v>478</v>
      </c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  <c r="U605" s="9"/>
      <c r="V605" s="9"/>
      <c r="W605" s="9"/>
      <c r="X605" s="5">
        <v>1</v>
      </c>
      <c r="Y605" s="5"/>
      <c r="Z605" s="25"/>
      <c r="AA605" s="30"/>
    </row>
    <row r="606" spans="1:27" ht="31.5" x14ac:dyDescent="0.4">
      <c r="A606" s="5">
        <v>604</v>
      </c>
      <c r="B606" s="21">
        <v>911405</v>
      </c>
      <c r="C606" s="20" t="s">
        <v>479</v>
      </c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  <c r="U606" s="9"/>
      <c r="V606" s="9"/>
      <c r="W606" s="9"/>
      <c r="X606" s="5">
        <v>1</v>
      </c>
      <c r="Y606" s="5"/>
      <c r="Z606" s="25"/>
      <c r="AA606" s="30"/>
    </row>
    <row r="607" spans="1:27" ht="18" x14ac:dyDescent="0.45">
      <c r="A607" s="5">
        <v>605</v>
      </c>
      <c r="B607" s="21" t="s">
        <v>150</v>
      </c>
      <c r="C607" s="13" t="s">
        <v>11</v>
      </c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  <c r="U607" s="9">
        <v>4.1666666666666664E-2</v>
      </c>
      <c r="V607" s="9"/>
      <c r="W607" s="9"/>
      <c r="X607" s="5">
        <v>1</v>
      </c>
      <c r="Y607" s="5">
        <v>1</v>
      </c>
      <c r="Z607" s="25">
        <v>10</v>
      </c>
      <c r="AA607" s="30"/>
    </row>
    <row r="608" spans="1:27" ht="18" x14ac:dyDescent="0.45">
      <c r="A608" s="5">
        <v>606</v>
      </c>
      <c r="B608" s="21" t="s">
        <v>152</v>
      </c>
      <c r="C608" s="13" t="s">
        <v>38</v>
      </c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  <c r="U608" s="9">
        <v>4.1666666666666664E-2</v>
      </c>
      <c r="V608" s="9"/>
      <c r="W608" s="9"/>
      <c r="X608" s="5">
        <v>1</v>
      </c>
      <c r="Y608" s="5">
        <v>1</v>
      </c>
      <c r="Z608" s="41">
        <v>13.7</v>
      </c>
      <c r="AA608" s="30"/>
    </row>
    <row r="609" spans="1:27" ht="18" x14ac:dyDescent="0.45">
      <c r="A609" s="5">
        <v>607</v>
      </c>
      <c r="B609" s="21" t="s">
        <v>154</v>
      </c>
      <c r="C609" s="13" t="s">
        <v>26</v>
      </c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  <c r="U609" s="9">
        <v>6.25E-2</v>
      </c>
      <c r="V609" s="9"/>
      <c r="W609" s="9"/>
      <c r="X609" s="5">
        <v>1</v>
      </c>
      <c r="Y609" s="5">
        <v>1</v>
      </c>
      <c r="Z609" s="25">
        <v>13.5</v>
      </c>
      <c r="AA609" s="30"/>
    </row>
    <row r="610" spans="1:27" ht="18" x14ac:dyDescent="0.45">
      <c r="A610" s="5">
        <v>608</v>
      </c>
      <c r="B610" s="21" t="s">
        <v>155</v>
      </c>
      <c r="C610" s="13" t="s">
        <v>226</v>
      </c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  <c r="U610" s="9"/>
      <c r="V610" s="9"/>
      <c r="W610" s="9"/>
      <c r="X610" s="5">
        <v>1</v>
      </c>
      <c r="Y610" s="5"/>
      <c r="Z610" s="25"/>
      <c r="AA610" s="30"/>
    </row>
    <row r="611" spans="1:27" ht="18" x14ac:dyDescent="0.45">
      <c r="A611" s="5">
        <v>609</v>
      </c>
      <c r="B611" s="21" t="s">
        <v>228</v>
      </c>
      <c r="C611" s="13" t="s">
        <v>227</v>
      </c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  <c r="U611" s="9"/>
      <c r="V611" s="9"/>
      <c r="W611" s="9"/>
      <c r="X611" s="5"/>
      <c r="Y611" s="5"/>
      <c r="Z611" s="25"/>
      <c r="AA611" s="30"/>
    </row>
    <row r="612" spans="1:27" ht="18" x14ac:dyDescent="0.45">
      <c r="A612" s="5">
        <v>610</v>
      </c>
      <c r="B612" s="7">
        <v>0</v>
      </c>
      <c r="C612" s="2" t="s">
        <v>802</v>
      </c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  <c r="U612" s="9"/>
      <c r="V612" s="9"/>
      <c r="W612" s="9"/>
      <c r="X612" s="5"/>
      <c r="Y612" s="5"/>
      <c r="Z612" s="25"/>
      <c r="AA612" s="30"/>
    </row>
    <row r="613" spans="1:27" ht="18" x14ac:dyDescent="0.45">
      <c r="A613" s="5">
        <v>611</v>
      </c>
      <c r="B613" s="7">
        <v>0</v>
      </c>
      <c r="C613" s="13" t="s">
        <v>803</v>
      </c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  <c r="U613" s="9"/>
      <c r="V613" s="9"/>
      <c r="W613" s="9"/>
      <c r="X613" s="5"/>
      <c r="Y613" s="5"/>
      <c r="Z613" s="25"/>
      <c r="AA613" s="30"/>
    </row>
    <row r="614" spans="1:27" ht="18" x14ac:dyDescent="0.45">
      <c r="A614" s="5">
        <v>612</v>
      </c>
      <c r="B614" s="21" t="s">
        <v>229</v>
      </c>
      <c r="C614" s="13" t="s">
        <v>102</v>
      </c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  <c r="U614" s="9">
        <v>0.16666666666666666</v>
      </c>
      <c r="V614" s="9"/>
      <c r="W614" s="9"/>
      <c r="X614" s="5">
        <v>1</v>
      </c>
      <c r="Y614" s="5">
        <v>1</v>
      </c>
      <c r="Z614" s="25">
        <v>9.6999999999999993</v>
      </c>
      <c r="AA614" s="30"/>
    </row>
    <row r="615" spans="1:27" ht="18" x14ac:dyDescent="0.45">
      <c r="A615" s="5">
        <v>613</v>
      </c>
      <c r="B615" s="21" t="s">
        <v>230</v>
      </c>
      <c r="C615" s="13" t="s">
        <v>158</v>
      </c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  <c r="U615" s="9">
        <v>0.22222222222222221</v>
      </c>
      <c r="V615" s="9"/>
      <c r="W615" s="9"/>
      <c r="X615" s="5">
        <v>1</v>
      </c>
      <c r="Y615" s="5"/>
      <c r="Z615" s="25">
        <v>14.2</v>
      </c>
      <c r="AA615" s="30"/>
    </row>
    <row r="616" spans="1:27" ht="18" x14ac:dyDescent="0.45">
      <c r="A616" s="5">
        <v>614</v>
      </c>
      <c r="B616" s="21" t="s">
        <v>238</v>
      </c>
      <c r="C616" s="13" t="s">
        <v>103</v>
      </c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  <c r="U616" s="9">
        <v>0.1875</v>
      </c>
      <c r="V616" s="9"/>
      <c r="W616" s="9"/>
      <c r="X616" s="5">
        <v>1</v>
      </c>
      <c r="Y616" s="5">
        <v>1</v>
      </c>
      <c r="Z616" s="25">
        <v>10.5</v>
      </c>
      <c r="AA616" s="30"/>
    </row>
    <row r="617" spans="1:27" ht="18" x14ac:dyDescent="0.45">
      <c r="A617" s="5">
        <v>615</v>
      </c>
      <c r="B617" s="21" t="s">
        <v>233</v>
      </c>
      <c r="C617" s="2" t="s">
        <v>232</v>
      </c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  <c r="U617" s="9"/>
      <c r="V617" s="9"/>
      <c r="W617" s="9"/>
      <c r="X617" s="5"/>
      <c r="Y617" s="5"/>
      <c r="Z617" s="25"/>
      <c r="AA617" s="30"/>
    </row>
    <row r="618" spans="1:27" ht="18" x14ac:dyDescent="0.45">
      <c r="A618" s="5">
        <v>616</v>
      </c>
      <c r="B618" s="19" t="s">
        <v>236</v>
      </c>
      <c r="C618" s="2" t="s">
        <v>235</v>
      </c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  <c r="U618" s="9">
        <v>0.66666666666666663</v>
      </c>
      <c r="V618" s="9"/>
      <c r="W618" s="9"/>
      <c r="X618" s="5">
        <v>2</v>
      </c>
      <c r="Y618" s="5">
        <v>2</v>
      </c>
      <c r="Z618" s="25">
        <v>19</v>
      </c>
      <c r="AA618" s="30"/>
    </row>
    <row r="619" spans="1:27" ht="18" x14ac:dyDescent="0.45">
      <c r="A619" s="5">
        <v>617</v>
      </c>
      <c r="B619" s="21" t="s">
        <v>164</v>
      </c>
      <c r="C619" s="13" t="s">
        <v>298</v>
      </c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  <c r="U619" s="9"/>
      <c r="V619" s="9"/>
      <c r="W619" s="9"/>
      <c r="X619" s="5"/>
      <c r="Y619" s="5"/>
      <c r="Z619" s="25"/>
      <c r="AA619" s="30"/>
    </row>
    <row r="620" spans="1:27" ht="18" x14ac:dyDescent="0.45">
      <c r="A620" s="5">
        <v>618</v>
      </c>
      <c r="B620" s="21" t="s">
        <v>165</v>
      </c>
      <c r="C620" s="13" t="s">
        <v>299</v>
      </c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  <c r="U620" s="9"/>
      <c r="V620" s="9"/>
      <c r="W620" s="9"/>
      <c r="X620" s="5"/>
      <c r="Y620" s="5"/>
      <c r="Z620" s="25"/>
      <c r="AA620" s="30"/>
    </row>
    <row r="621" spans="1:27" ht="18" x14ac:dyDescent="0.45">
      <c r="A621" s="5">
        <v>619</v>
      </c>
      <c r="B621" s="21" t="s">
        <v>313</v>
      </c>
      <c r="C621" s="13" t="s">
        <v>312</v>
      </c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  <c r="U621" s="9"/>
      <c r="V621" s="9"/>
      <c r="W621" s="9"/>
      <c r="X621" s="5"/>
      <c r="Y621" s="5"/>
      <c r="Z621" s="25"/>
      <c r="AA621" s="30"/>
    </row>
    <row r="622" spans="1:27" ht="18" x14ac:dyDescent="0.45">
      <c r="A622" s="5">
        <v>620</v>
      </c>
      <c r="B622" s="21" t="s">
        <v>315</v>
      </c>
      <c r="C622" s="13" t="s">
        <v>314</v>
      </c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  <c r="U622" s="9"/>
      <c r="V622" s="9"/>
      <c r="W622" s="9"/>
      <c r="X622" s="5"/>
      <c r="Y622" s="5"/>
      <c r="Z622" s="25"/>
      <c r="AA622" s="30"/>
    </row>
    <row r="623" spans="1:27" ht="18" x14ac:dyDescent="0.45">
      <c r="A623" s="5">
        <v>621</v>
      </c>
      <c r="B623" s="21">
        <v>901000</v>
      </c>
      <c r="C623" s="13" t="s">
        <v>32</v>
      </c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  <c r="U623" s="9"/>
      <c r="V623" s="9"/>
      <c r="W623" s="9"/>
      <c r="X623" s="5"/>
      <c r="Y623" s="5"/>
      <c r="Z623" s="25"/>
      <c r="AA623" s="30"/>
    </row>
    <row r="624" spans="1:27" ht="18" x14ac:dyDescent="0.45">
      <c r="A624" s="5">
        <v>622</v>
      </c>
      <c r="B624" s="21">
        <v>902000</v>
      </c>
      <c r="C624" s="13" t="s">
        <v>33</v>
      </c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  <c r="U624" s="9"/>
      <c r="V624" s="9"/>
      <c r="W624" s="9"/>
      <c r="X624" s="5"/>
      <c r="Y624" s="5"/>
      <c r="Z624" s="25"/>
      <c r="AA624" s="30"/>
    </row>
    <row r="625" spans="1:27" ht="18" x14ac:dyDescent="0.45">
      <c r="A625" s="5">
        <v>623</v>
      </c>
      <c r="B625" s="21">
        <v>992001</v>
      </c>
      <c r="C625" s="13" t="s">
        <v>316</v>
      </c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  <c r="U625" s="9"/>
      <c r="V625" s="9"/>
      <c r="W625" s="9"/>
      <c r="X625" s="5"/>
      <c r="Y625" s="5"/>
      <c r="Z625" s="25"/>
      <c r="AA625" s="30"/>
    </row>
    <row r="626" spans="1:27" ht="18" x14ac:dyDescent="0.2">
      <c r="A626" s="5">
        <v>624</v>
      </c>
      <c r="B626" s="19" t="s">
        <v>292</v>
      </c>
      <c r="C626" s="31" t="s">
        <v>804</v>
      </c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  <c r="U626" s="9"/>
      <c r="V626" s="9"/>
      <c r="W626" s="9"/>
      <c r="X626" s="5"/>
      <c r="Y626" s="5"/>
      <c r="Z626" s="25"/>
      <c r="AA626" s="30"/>
    </row>
    <row r="627" spans="1:27" ht="18" x14ac:dyDescent="0.2">
      <c r="A627" s="5">
        <v>625</v>
      </c>
      <c r="B627" s="19" t="s">
        <v>295</v>
      </c>
      <c r="C627" s="31" t="s">
        <v>805</v>
      </c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  <c r="U627" s="9"/>
      <c r="V627" s="9"/>
      <c r="W627" s="9"/>
      <c r="X627" s="5"/>
      <c r="Y627" s="5"/>
      <c r="Z627" s="25"/>
      <c r="AA627" s="30"/>
    </row>
    <row r="628" spans="1:27" ht="18" x14ac:dyDescent="0.2">
      <c r="A628" s="5">
        <v>626</v>
      </c>
      <c r="B628" s="19" t="s">
        <v>240</v>
      </c>
      <c r="C628" s="31" t="s">
        <v>806</v>
      </c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  <c r="U628" s="9">
        <v>8.3333333333333332E-3</v>
      </c>
      <c r="V628" s="9"/>
      <c r="W628" s="9"/>
      <c r="X628" s="5"/>
      <c r="Y628" s="5"/>
      <c r="Z628" s="25">
        <v>1.3</v>
      </c>
      <c r="AA628" s="30"/>
    </row>
    <row r="629" spans="1:27" ht="18" x14ac:dyDescent="0.2">
      <c r="A629" s="5">
        <v>627</v>
      </c>
      <c r="B629" s="19" t="s">
        <v>242</v>
      </c>
      <c r="C629" s="31" t="s">
        <v>807</v>
      </c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  <c r="U629" s="9"/>
      <c r="V629" s="9"/>
      <c r="W629" s="9"/>
      <c r="X629" s="5"/>
      <c r="Y629" s="5"/>
      <c r="Z629" s="25"/>
      <c r="AA629" s="30"/>
    </row>
    <row r="630" spans="1:27" ht="18" x14ac:dyDescent="0.2">
      <c r="A630" s="5">
        <v>628</v>
      </c>
      <c r="B630" s="19" t="s">
        <v>244</v>
      </c>
      <c r="C630" s="31" t="s">
        <v>808</v>
      </c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  <c r="U630" s="9"/>
      <c r="V630" s="9"/>
      <c r="W630" s="9"/>
      <c r="X630" s="5"/>
      <c r="Y630" s="5"/>
      <c r="Z630" s="25"/>
      <c r="AA630" s="30"/>
    </row>
    <row r="631" spans="1:27" ht="18" x14ac:dyDescent="0.2">
      <c r="A631" s="5">
        <v>629</v>
      </c>
      <c r="B631" s="19" t="s">
        <v>245</v>
      </c>
      <c r="C631" s="31" t="s">
        <v>809</v>
      </c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  <c r="U631" s="9"/>
      <c r="V631" s="9"/>
      <c r="W631" s="9"/>
      <c r="X631" s="5"/>
      <c r="Y631" s="5"/>
      <c r="Z631" s="25"/>
      <c r="AA631" s="30"/>
    </row>
    <row r="632" spans="1:27" ht="18" x14ac:dyDescent="0.2">
      <c r="A632" s="5">
        <v>630</v>
      </c>
      <c r="B632" s="19" t="s">
        <v>246</v>
      </c>
      <c r="C632" s="32" t="s">
        <v>810</v>
      </c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  <c r="U632" s="9"/>
      <c r="V632" s="9"/>
      <c r="W632" s="9"/>
      <c r="X632" s="5"/>
      <c r="Y632" s="5"/>
      <c r="Z632" s="25"/>
      <c r="AA632" s="30"/>
    </row>
    <row r="633" spans="1:27" ht="18" x14ac:dyDescent="0.2">
      <c r="A633" s="5">
        <v>631</v>
      </c>
      <c r="B633" s="19" t="s">
        <v>247</v>
      </c>
      <c r="C633" s="32" t="s">
        <v>811</v>
      </c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  <c r="U633" s="9"/>
      <c r="V633" s="9"/>
      <c r="W633" s="9"/>
      <c r="X633" s="5"/>
      <c r="Y633" s="5"/>
      <c r="Z633" s="25"/>
      <c r="AA633" s="30"/>
    </row>
    <row r="634" spans="1:27" ht="18" x14ac:dyDescent="0.2">
      <c r="A634" s="5">
        <v>632</v>
      </c>
      <c r="B634" s="19" t="s">
        <v>249</v>
      </c>
      <c r="C634" s="32" t="s">
        <v>248</v>
      </c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  <c r="U634" s="9"/>
      <c r="V634" s="9"/>
      <c r="W634" s="9"/>
      <c r="X634" s="5">
        <v>1</v>
      </c>
      <c r="Y634" s="5">
        <v>1</v>
      </c>
      <c r="Z634" s="25">
        <v>3.4</v>
      </c>
      <c r="AA634" s="30"/>
    </row>
    <row r="635" spans="1:27" ht="18" x14ac:dyDescent="0.2">
      <c r="A635" s="5">
        <v>633</v>
      </c>
      <c r="B635" s="19" t="s">
        <v>302</v>
      </c>
      <c r="C635" s="31" t="s">
        <v>812</v>
      </c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  <c r="U635" s="9"/>
      <c r="V635" s="9"/>
      <c r="W635" s="9"/>
      <c r="X635" s="5"/>
      <c r="Y635" s="5"/>
      <c r="Z635" s="25"/>
      <c r="AA635" s="30"/>
    </row>
    <row r="636" spans="1:27" ht="18" x14ac:dyDescent="0.2">
      <c r="A636" s="5">
        <v>634</v>
      </c>
      <c r="B636" s="19" t="s">
        <v>304</v>
      </c>
      <c r="C636" s="31" t="s">
        <v>813</v>
      </c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  <c r="U636" s="9"/>
      <c r="V636" s="9"/>
      <c r="W636" s="9"/>
      <c r="X636" s="5"/>
      <c r="Y636" s="5"/>
      <c r="Z636" s="25"/>
      <c r="AA636" s="30"/>
    </row>
    <row r="637" spans="1:27" ht="18" x14ac:dyDescent="0.2">
      <c r="A637" s="5">
        <v>635</v>
      </c>
      <c r="B637" s="19" t="s">
        <v>306</v>
      </c>
      <c r="C637" s="31" t="s">
        <v>305</v>
      </c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  <c r="U637" s="9"/>
      <c r="V637" s="9"/>
      <c r="W637" s="9"/>
      <c r="X637" s="5"/>
      <c r="Y637" s="5"/>
      <c r="Z637" s="25"/>
      <c r="AA637" s="30"/>
    </row>
    <row r="638" spans="1:27" ht="18" x14ac:dyDescent="0.2">
      <c r="A638" s="5">
        <v>636</v>
      </c>
      <c r="B638" s="19" t="s">
        <v>301</v>
      </c>
      <c r="C638" s="31" t="s">
        <v>814</v>
      </c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  <c r="U638" s="9">
        <v>0.16666666666666666</v>
      </c>
      <c r="V638" s="9"/>
      <c r="W638" s="9"/>
      <c r="X638" s="5">
        <v>1</v>
      </c>
      <c r="Y638" s="5">
        <v>4</v>
      </c>
      <c r="Z638" s="25">
        <v>17.8</v>
      </c>
      <c r="AA638" s="30"/>
    </row>
    <row r="639" spans="1:27" ht="18" x14ac:dyDescent="0.2">
      <c r="A639" s="5">
        <v>637</v>
      </c>
      <c r="B639" s="19" t="s">
        <v>271</v>
      </c>
      <c r="C639" s="31" t="s">
        <v>815</v>
      </c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  <c r="U639" s="9">
        <v>1.3888888888888888E-2</v>
      </c>
      <c r="V639" s="9"/>
      <c r="W639" s="9"/>
      <c r="X639" s="5"/>
      <c r="Y639" s="5"/>
      <c r="Z639" s="25" t="s">
        <v>890</v>
      </c>
      <c r="AA639" s="30"/>
    </row>
    <row r="640" spans="1:27" ht="18" x14ac:dyDescent="0.2">
      <c r="A640" s="5">
        <v>638</v>
      </c>
      <c r="B640" s="19" t="s">
        <v>251</v>
      </c>
      <c r="C640" s="31" t="s">
        <v>816</v>
      </c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  <c r="U640" s="9"/>
      <c r="V640" s="9"/>
      <c r="W640" s="9"/>
      <c r="X640" s="5"/>
      <c r="Y640" s="5"/>
      <c r="Z640" s="25"/>
      <c r="AA640" s="30"/>
    </row>
    <row r="641" spans="1:27" ht="18" x14ac:dyDescent="0.2">
      <c r="A641" s="5">
        <v>639</v>
      </c>
      <c r="B641" s="19" t="s">
        <v>252</v>
      </c>
      <c r="C641" s="31" t="s">
        <v>817</v>
      </c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  <c r="U641" s="9">
        <v>1.0416666666666666E-2</v>
      </c>
      <c r="V641" s="9"/>
      <c r="W641" s="9"/>
      <c r="X641" s="5">
        <v>1</v>
      </c>
      <c r="Y641" s="5">
        <v>3</v>
      </c>
      <c r="Z641" s="25" t="s">
        <v>1203</v>
      </c>
      <c r="AA641" s="30"/>
    </row>
    <row r="642" spans="1:27" ht="18" x14ac:dyDescent="0.2">
      <c r="A642" s="5">
        <v>640</v>
      </c>
      <c r="B642" s="19" t="s">
        <v>254</v>
      </c>
      <c r="C642" s="31" t="s">
        <v>818</v>
      </c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  <c r="U642" s="9"/>
      <c r="V642" s="9"/>
      <c r="W642" s="9"/>
      <c r="X642" s="5"/>
      <c r="Y642" s="5"/>
      <c r="Z642" s="25"/>
      <c r="AA642" s="30"/>
    </row>
    <row r="643" spans="1:27" ht="18" x14ac:dyDescent="0.2">
      <c r="A643" s="5">
        <v>641</v>
      </c>
      <c r="B643" s="19" t="s">
        <v>255</v>
      </c>
      <c r="C643" s="31" t="s">
        <v>819</v>
      </c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  <c r="U643" s="9">
        <v>1.0416666666666666E-2</v>
      </c>
      <c r="V643" s="9"/>
      <c r="W643" s="9"/>
      <c r="X643" s="5">
        <v>1</v>
      </c>
      <c r="Y643" s="5">
        <v>3</v>
      </c>
      <c r="Z643" s="25" t="s">
        <v>1203</v>
      </c>
      <c r="AA643" s="30"/>
    </row>
    <row r="644" spans="1:27" ht="18" x14ac:dyDescent="0.2">
      <c r="A644" s="5">
        <v>642</v>
      </c>
      <c r="B644" s="19" t="s">
        <v>308</v>
      </c>
      <c r="C644" s="31" t="s">
        <v>820</v>
      </c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  <c r="U644" s="9"/>
      <c r="V644" s="9"/>
      <c r="W644" s="9"/>
      <c r="X644" s="5"/>
      <c r="Y644" s="5"/>
      <c r="Z644" s="25"/>
      <c r="AA644" s="30"/>
    </row>
    <row r="645" spans="1:27" ht="18" x14ac:dyDescent="0.2">
      <c r="A645" s="5">
        <v>643</v>
      </c>
      <c r="B645" s="19" t="s">
        <v>276</v>
      </c>
      <c r="C645" s="31" t="s">
        <v>821</v>
      </c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  <c r="U645" s="9">
        <v>1.0416666666666666E-2</v>
      </c>
      <c r="V645" s="9"/>
      <c r="W645" s="9"/>
      <c r="X645" s="5">
        <v>1</v>
      </c>
      <c r="Y645" s="5">
        <v>1</v>
      </c>
      <c r="Z645" s="25">
        <v>1.7</v>
      </c>
      <c r="AA645" s="30"/>
    </row>
    <row r="646" spans="1:27" ht="18" x14ac:dyDescent="0.2">
      <c r="A646" s="5">
        <v>644</v>
      </c>
      <c r="B646" s="19" t="s">
        <v>265</v>
      </c>
      <c r="C646" s="31" t="s">
        <v>90</v>
      </c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  <c r="U646" s="9"/>
      <c r="V646" s="9"/>
      <c r="W646" s="9"/>
      <c r="X646" s="5">
        <v>1</v>
      </c>
      <c r="Y646" s="5"/>
      <c r="Z646" s="25"/>
      <c r="AA646" s="30"/>
    </row>
    <row r="647" spans="1:27" ht="18" x14ac:dyDescent="0.2">
      <c r="A647" s="5">
        <v>645</v>
      </c>
      <c r="B647" s="19" t="s">
        <v>266</v>
      </c>
      <c r="C647" s="31" t="s">
        <v>92</v>
      </c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  <c r="U647" s="9"/>
      <c r="V647" s="9"/>
      <c r="W647" s="9"/>
      <c r="X647" s="5">
        <v>1</v>
      </c>
      <c r="Y647" s="5"/>
      <c r="Z647" s="25"/>
      <c r="AA647" s="30"/>
    </row>
    <row r="648" spans="1:27" ht="18" x14ac:dyDescent="0.2">
      <c r="A648" s="5">
        <v>646</v>
      </c>
      <c r="B648" s="19" t="s">
        <v>267</v>
      </c>
      <c r="C648" s="31" t="s">
        <v>91</v>
      </c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  <c r="U648" s="9"/>
      <c r="V648" s="9"/>
      <c r="W648" s="9"/>
      <c r="X648" s="5">
        <v>1</v>
      </c>
      <c r="Y648" s="5"/>
      <c r="Z648" s="25"/>
      <c r="AA648" s="30"/>
    </row>
    <row r="649" spans="1:27" ht="18" x14ac:dyDescent="0.2">
      <c r="A649" s="5">
        <v>647</v>
      </c>
      <c r="B649" s="19" t="s">
        <v>268</v>
      </c>
      <c r="C649" s="31" t="s">
        <v>93</v>
      </c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  <c r="U649" s="9"/>
      <c r="V649" s="9"/>
      <c r="W649" s="9"/>
      <c r="X649" s="5">
        <v>1</v>
      </c>
      <c r="Y649" s="5"/>
      <c r="Z649" s="25"/>
      <c r="AA649" s="30"/>
    </row>
    <row r="650" spans="1:27" ht="18" x14ac:dyDescent="0.2">
      <c r="A650" s="5">
        <v>648</v>
      </c>
      <c r="B650" s="19" t="s">
        <v>270</v>
      </c>
      <c r="C650" s="31" t="s">
        <v>822</v>
      </c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  <c r="U650" s="9"/>
      <c r="V650" s="9"/>
      <c r="W650" s="9"/>
      <c r="X650" s="5">
        <v>1</v>
      </c>
      <c r="Y650" s="5">
        <v>2</v>
      </c>
      <c r="Z650" s="25"/>
      <c r="AA650" s="30"/>
    </row>
    <row r="651" spans="1:27" ht="18" x14ac:dyDescent="0.2">
      <c r="A651" s="5">
        <v>649</v>
      </c>
      <c r="B651" s="33" t="s">
        <v>297</v>
      </c>
      <c r="C651" s="31" t="s">
        <v>823</v>
      </c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  <c r="U651" s="42">
        <v>0.33333333333333331</v>
      </c>
      <c r="V651" s="42"/>
      <c r="W651" s="42"/>
      <c r="X651" s="5"/>
      <c r="Y651" s="5">
        <v>7</v>
      </c>
      <c r="Z651" s="25">
        <v>20.7</v>
      </c>
      <c r="AA651" s="30"/>
    </row>
    <row r="652" spans="1:27" ht="18" x14ac:dyDescent="0.2">
      <c r="A652" s="5">
        <v>650</v>
      </c>
      <c r="B652" s="19" t="s">
        <v>273</v>
      </c>
      <c r="C652" s="31" t="s">
        <v>173</v>
      </c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  <c r="U652" s="9"/>
      <c r="V652" s="9"/>
      <c r="W652" s="9"/>
      <c r="X652" s="5"/>
      <c r="Y652" s="5"/>
      <c r="Z652" s="25"/>
      <c r="AA652" s="30"/>
    </row>
    <row r="653" spans="1:27" ht="18" x14ac:dyDescent="0.2">
      <c r="A653" s="5">
        <v>651</v>
      </c>
      <c r="B653" s="19" t="s">
        <v>284</v>
      </c>
      <c r="C653" s="31" t="s">
        <v>824</v>
      </c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  <c r="U653" s="9">
        <v>4.8611111111111112E-2</v>
      </c>
      <c r="V653" s="9"/>
      <c r="W653" s="9"/>
      <c r="X653" s="5">
        <v>1</v>
      </c>
      <c r="Y653" s="5">
        <v>2</v>
      </c>
      <c r="Z653" s="25">
        <v>5.0999999999999996</v>
      </c>
      <c r="AA653" s="30"/>
    </row>
    <row r="654" spans="1:27" ht="18" x14ac:dyDescent="0.2">
      <c r="A654" s="5">
        <v>652</v>
      </c>
      <c r="B654" s="19" t="s">
        <v>286</v>
      </c>
      <c r="C654" s="31" t="s">
        <v>825</v>
      </c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  <c r="U654" s="9"/>
      <c r="V654" s="9"/>
      <c r="W654" s="9"/>
      <c r="X654" s="5">
        <v>1</v>
      </c>
      <c r="Y654" s="5"/>
      <c r="Z654" s="25"/>
      <c r="AA654" s="30"/>
    </row>
    <row r="655" spans="1:27" ht="18" x14ac:dyDescent="0.2">
      <c r="A655" s="5">
        <v>653</v>
      </c>
      <c r="B655" s="19" t="s">
        <v>288</v>
      </c>
      <c r="C655" s="31" t="s">
        <v>826</v>
      </c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  <c r="U655" s="9">
        <v>8.3333333333333329E-2</v>
      </c>
      <c r="V655" s="9"/>
      <c r="W655" s="9"/>
      <c r="X655" s="5">
        <v>1</v>
      </c>
      <c r="Y655" s="5">
        <v>3</v>
      </c>
      <c r="Z655" s="25">
        <v>8.5</v>
      </c>
      <c r="AA655" s="30"/>
    </row>
    <row r="656" spans="1:27" ht="18" x14ac:dyDescent="0.2">
      <c r="A656" s="5">
        <v>654</v>
      </c>
      <c r="B656" s="7">
        <v>0</v>
      </c>
      <c r="C656" s="31" t="s">
        <v>827</v>
      </c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  <c r="U656" s="9"/>
      <c r="V656" s="9"/>
      <c r="W656" s="9"/>
      <c r="X656" s="5"/>
      <c r="Y656" s="5"/>
      <c r="Z656" s="25"/>
      <c r="AA656" s="30"/>
    </row>
    <row r="657" spans="1:27" ht="18" x14ac:dyDescent="0.2">
      <c r="A657" s="5">
        <v>655</v>
      </c>
      <c r="B657" s="19" t="s">
        <v>282</v>
      </c>
      <c r="C657" s="31" t="s">
        <v>828</v>
      </c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  <c r="U657" s="9">
        <v>2.0833333333333332E-2</v>
      </c>
      <c r="V657" s="9"/>
      <c r="W657" s="9"/>
      <c r="X657" s="5">
        <v>1</v>
      </c>
      <c r="Y657" s="5">
        <v>2</v>
      </c>
      <c r="Z657" s="25">
        <v>2.1</v>
      </c>
      <c r="AA657" s="30"/>
    </row>
    <row r="658" spans="1:27" ht="18" x14ac:dyDescent="0.2">
      <c r="A658" s="5">
        <v>656</v>
      </c>
      <c r="B658" s="19" t="s">
        <v>277</v>
      </c>
      <c r="C658" s="31" t="s">
        <v>36</v>
      </c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  <c r="U658" s="9"/>
      <c r="V658" s="9"/>
      <c r="W658" s="9"/>
      <c r="X658" s="5"/>
      <c r="Y658" s="5"/>
      <c r="Z658" s="25"/>
      <c r="AA658" s="30"/>
    </row>
    <row r="659" spans="1:27" ht="18" x14ac:dyDescent="0.2">
      <c r="A659" s="5">
        <v>657</v>
      </c>
      <c r="B659" s="19" t="s">
        <v>256</v>
      </c>
      <c r="C659" s="31" t="s">
        <v>829</v>
      </c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  <c r="U659" s="9">
        <v>1.0416666666666666E-2</v>
      </c>
      <c r="V659" s="9"/>
      <c r="W659" s="9"/>
      <c r="X659" s="5">
        <v>1</v>
      </c>
      <c r="Y659" s="5">
        <v>2</v>
      </c>
      <c r="Z659" s="25" t="s">
        <v>953</v>
      </c>
      <c r="AA659" s="30"/>
    </row>
    <row r="660" spans="1:27" ht="18" x14ac:dyDescent="0.2">
      <c r="A660" s="5">
        <v>658</v>
      </c>
      <c r="B660" s="7" t="s">
        <v>841</v>
      </c>
      <c r="C660" s="34" t="s">
        <v>162</v>
      </c>
      <c r="D660" s="36" t="s">
        <v>9</v>
      </c>
      <c r="E660" s="36"/>
      <c r="F660" s="36"/>
      <c r="G660" s="36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  <c r="U660" s="9"/>
      <c r="V660" s="9"/>
      <c r="W660" s="9"/>
      <c r="X660" s="5">
        <v>1</v>
      </c>
      <c r="Y660" s="5"/>
      <c r="Z660" s="25"/>
      <c r="AA660" s="30"/>
    </row>
    <row r="661" spans="1:27" ht="18" x14ac:dyDescent="0.45">
      <c r="A661" s="5">
        <v>659</v>
      </c>
      <c r="B661" s="7" t="s">
        <v>844</v>
      </c>
      <c r="C661" s="13" t="s">
        <v>838</v>
      </c>
      <c r="D661" s="36" t="s">
        <v>27</v>
      </c>
      <c r="E661" s="36"/>
      <c r="F661" s="36"/>
      <c r="G661" s="36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  <c r="U661" s="9">
        <v>8.3333333333333329E-2</v>
      </c>
      <c r="V661" s="9"/>
      <c r="W661" s="9"/>
      <c r="X661" s="5"/>
      <c r="Y661" s="5"/>
      <c r="Z661" s="25">
        <v>9.3000000000000007</v>
      </c>
      <c r="AA661" s="30"/>
    </row>
    <row r="662" spans="1:27" ht="18" x14ac:dyDescent="0.45">
      <c r="A662" s="5">
        <v>660</v>
      </c>
      <c r="B662" s="7" t="s">
        <v>846</v>
      </c>
      <c r="C662" s="3" t="s">
        <v>847</v>
      </c>
      <c r="D662" s="36" t="s">
        <v>586</v>
      </c>
      <c r="E662" s="36"/>
      <c r="F662" s="36"/>
      <c r="G662" s="36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  <c r="U662" s="9"/>
      <c r="V662" s="9"/>
      <c r="W662" s="9"/>
      <c r="X662" s="5"/>
      <c r="Y662" s="5"/>
      <c r="Z662" s="25"/>
      <c r="AA662" s="30"/>
    </row>
    <row r="663" spans="1:27" ht="18" x14ac:dyDescent="0.45">
      <c r="A663" s="5">
        <v>661</v>
      </c>
      <c r="B663" s="35" t="s">
        <v>872</v>
      </c>
      <c r="C663" s="3" t="s">
        <v>866</v>
      </c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  <c r="U663" s="9"/>
      <c r="V663" s="9"/>
      <c r="W663" s="9"/>
      <c r="X663" s="5"/>
      <c r="Y663" s="5"/>
      <c r="Z663" s="25"/>
      <c r="AA663" s="30"/>
    </row>
    <row r="664" spans="1:27" ht="18" x14ac:dyDescent="0.45">
      <c r="A664" s="5">
        <v>662</v>
      </c>
      <c r="B664" s="35" t="s">
        <v>873</v>
      </c>
      <c r="C664" s="3" t="s">
        <v>867</v>
      </c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  <c r="U664" s="9"/>
      <c r="V664" s="9"/>
      <c r="W664" s="9"/>
      <c r="X664" s="5"/>
      <c r="Y664" s="5"/>
      <c r="Z664" s="25"/>
      <c r="AA664" s="30"/>
    </row>
    <row r="665" spans="1:27" ht="18" x14ac:dyDescent="0.45">
      <c r="A665" s="5">
        <v>663</v>
      </c>
      <c r="B665" s="35" t="s">
        <v>874</v>
      </c>
      <c r="C665" s="3" t="s">
        <v>868</v>
      </c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  <c r="U665" s="9"/>
      <c r="V665" s="9"/>
      <c r="W665" s="9"/>
      <c r="X665" s="5"/>
      <c r="Y665" s="5"/>
      <c r="Z665" s="25"/>
      <c r="AA665" s="30"/>
    </row>
    <row r="666" spans="1:27" ht="18" x14ac:dyDescent="0.45">
      <c r="A666" s="5">
        <v>664</v>
      </c>
      <c r="B666" s="35" t="s">
        <v>875</v>
      </c>
      <c r="C666" s="3" t="s">
        <v>869</v>
      </c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  <c r="U666" s="9"/>
      <c r="V666" s="9"/>
      <c r="W666" s="9"/>
      <c r="X666" s="5"/>
      <c r="Y666" s="5"/>
      <c r="Z666" s="25"/>
      <c r="AA666" s="30"/>
    </row>
    <row r="667" spans="1:27" ht="18" x14ac:dyDescent="0.45">
      <c r="A667" s="5">
        <v>665</v>
      </c>
      <c r="B667" s="35" t="s">
        <v>876</v>
      </c>
      <c r="C667" s="3" t="s">
        <v>870</v>
      </c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  <c r="U667" s="9"/>
      <c r="V667" s="9"/>
      <c r="W667" s="9"/>
      <c r="X667" s="5"/>
      <c r="Y667" s="5"/>
      <c r="Z667" s="25"/>
      <c r="AA667" s="30"/>
    </row>
    <row r="668" spans="1:27" ht="18" x14ac:dyDescent="0.45">
      <c r="A668" s="5">
        <v>666</v>
      </c>
      <c r="B668" s="35" t="s">
        <v>877</v>
      </c>
      <c r="C668" s="3" t="s">
        <v>871</v>
      </c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  <c r="U668" s="9"/>
      <c r="V668" s="9"/>
      <c r="W668" s="9"/>
      <c r="X668" s="5"/>
      <c r="Y668" s="5"/>
      <c r="Z668" s="25"/>
      <c r="AA668" s="30"/>
    </row>
    <row r="669" spans="1:27" ht="18" x14ac:dyDescent="0.45">
      <c r="A669" s="5">
        <v>667</v>
      </c>
      <c r="B669" s="35">
        <v>216461</v>
      </c>
      <c r="C669" s="3" t="s">
        <v>880</v>
      </c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  <c r="U669" s="9"/>
      <c r="V669" s="9"/>
      <c r="W669" s="9"/>
      <c r="X669" s="5"/>
      <c r="Y669" s="5"/>
      <c r="Z669" s="25"/>
      <c r="AA669" s="30"/>
    </row>
    <row r="670" spans="1:27" ht="18" x14ac:dyDescent="0.45">
      <c r="A670" s="5">
        <v>668</v>
      </c>
      <c r="B670" s="35">
        <v>201200</v>
      </c>
      <c r="C670" s="3" t="s">
        <v>487</v>
      </c>
      <c r="D670" s="36" t="s">
        <v>69</v>
      </c>
      <c r="E670" s="36"/>
      <c r="F670" s="36"/>
      <c r="G670" s="36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  <c r="U670" s="9">
        <v>0.25</v>
      </c>
      <c r="V670" s="9"/>
      <c r="W670" s="9"/>
      <c r="X670" s="5">
        <v>1</v>
      </c>
      <c r="Y670" s="5">
        <v>1</v>
      </c>
      <c r="Z670" s="25">
        <v>27.5</v>
      </c>
      <c r="AA670" s="30"/>
    </row>
    <row r="671" spans="1:27" ht="18" x14ac:dyDescent="0.45">
      <c r="A671" s="5">
        <v>669</v>
      </c>
      <c r="B671" s="35" t="s">
        <v>284</v>
      </c>
      <c r="C671" s="3" t="s">
        <v>888</v>
      </c>
      <c r="D671" s="36" t="s">
        <v>4</v>
      </c>
      <c r="E671" s="36"/>
      <c r="F671" s="36"/>
      <c r="G671" s="36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  <c r="U671" s="9">
        <v>0.10416666666666667</v>
      </c>
      <c r="V671" s="9"/>
      <c r="W671" s="9"/>
      <c r="X671" s="5">
        <v>1</v>
      </c>
      <c r="Y671" s="5">
        <v>2</v>
      </c>
      <c r="Z671" s="25">
        <v>5</v>
      </c>
      <c r="AA671" s="30"/>
    </row>
    <row r="672" spans="1:27" ht="18" x14ac:dyDescent="0.45">
      <c r="A672" s="5">
        <v>670</v>
      </c>
      <c r="B672" s="35" t="s">
        <v>922</v>
      </c>
      <c r="C672" s="3" t="s">
        <v>921</v>
      </c>
      <c r="D672" s="36" t="s">
        <v>156</v>
      </c>
      <c r="E672" s="36"/>
      <c r="F672" s="36"/>
      <c r="G672" s="36"/>
      <c r="H672" s="36"/>
      <c r="I672" s="36"/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  <c r="U672" s="9">
        <v>0.14583333333333334</v>
      </c>
      <c r="V672" s="9"/>
      <c r="W672" s="9"/>
      <c r="X672" s="5"/>
      <c r="Y672" s="5"/>
      <c r="Z672" s="25">
        <v>10.4</v>
      </c>
      <c r="AA672" s="30"/>
    </row>
    <row r="673" spans="1:27" ht="18" x14ac:dyDescent="0.45">
      <c r="A673" s="5">
        <v>671</v>
      </c>
      <c r="B673" s="35">
        <v>201407</v>
      </c>
      <c r="C673" s="3" t="s">
        <v>889</v>
      </c>
      <c r="D673" s="36" t="s">
        <v>69</v>
      </c>
      <c r="E673" s="36"/>
      <c r="F673" s="36"/>
      <c r="G673" s="36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  <c r="U673" s="9">
        <v>0.33333333333333331</v>
      </c>
      <c r="V673" s="9"/>
      <c r="W673" s="9"/>
      <c r="X673" s="5">
        <v>1</v>
      </c>
      <c r="Y673" s="5">
        <v>15</v>
      </c>
      <c r="Z673" s="25">
        <v>24.7</v>
      </c>
      <c r="AA673" s="30"/>
    </row>
    <row r="674" spans="1:27" ht="18" x14ac:dyDescent="0.45">
      <c r="A674" s="5">
        <v>672</v>
      </c>
      <c r="B674" s="35">
        <v>104407</v>
      </c>
      <c r="C674" s="3" t="s">
        <v>892</v>
      </c>
      <c r="D674" s="36" t="s">
        <v>75</v>
      </c>
      <c r="E674" s="36"/>
      <c r="F674" s="36"/>
      <c r="G674" s="36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  <c r="U674" s="9">
        <v>0.41666666666666669</v>
      </c>
      <c r="V674" s="9"/>
      <c r="W674" s="9"/>
      <c r="X674" s="5">
        <v>1</v>
      </c>
      <c r="Y674" s="5"/>
      <c r="Z674" s="25">
        <v>34.200000000000003</v>
      </c>
      <c r="AA674" s="30"/>
    </row>
    <row r="675" spans="1:27" ht="18" x14ac:dyDescent="0.45">
      <c r="A675" s="5">
        <v>673</v>
      </c>
      <c r="B675" s="35">
        <v>153301</v>
      </c>
      <c r="C675" s="3" t="s">
        <v>3</v>
      </c>
      <c r="D675" s="36" t="s">
        <v>865</v>
      </c>
      <c r="E675" s="36"/>
      <c r="F675" s="36"/>
      <c r="G675" s="36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  <c r="U675" s="9">
        <v>0.20833333333333334</v>
      </c>
      <c r="V675" s="9"/>
      <c r="W675" s="9"/>
      <c r="X675" s="5">
        <v>1</v>
      </c>
      <c r="Y675" s="5">
        <v>2</v>
      </c>
      <c r="Z675" s="25">
        <v>46</v>
      </c>
      <c r="AA675" s="30"/>
    </row>
    <row r="676" spans="1:27" ht="18" x14ac:dyDescent="0.45">
      <c r="A676" s="5">
        <v>674</v>
      </c>
      <c r="B676" s="35">
        <v>225425</v>
      </c>
      <c r="C676" s="3" t="s">
        <v>918</v>
      </c>
      <c r="D676" s="36" t="s">
        <v>156</v>
      </c>
      <c r="E676" s="36"/>
      <c r="F676" s="36"/>
      <c r="G676" s="36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  <c r="U676" s="9">
        <v>0.25</v>
      </c>
      <c r="V676" s="9"/>
      <c r="W676" s="9"/>
      <c r="X676" s="5">
        <v>1</v>
      </c>
      <c r="Y676" s="5"/>
      <c r="Z676" s="25">
        <v>27.5</v>
      </c>
      <c r="AA676" s="30"/>
    </row>
    <row r="677" spans="1:27" ht="18" x14ac:dyDescent="0.45">
      <c r="A677" s="5">
        <v>675</v>
      </c>
      <c r="B677" s="35">
        <v>108404</v>
      </c>
      <c r="C677" s="3" t="s">
        <v>919</v>
      </c>
      <c r="D677" s="36" t="s">
        <v>65</v>
      </c>
      <c r="E677" s="36"/>
      <c r="F677" s="36"/>
      <c r="G677" s="36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  <c r="U677" s="9">
        <v>0.29166666666666669</v>
      </c>
      <c r="V677" s="9"/>
      <c r="W677" s="9"/>
      <c r="X677" s="5">
        <v>1</v>
      </c>
      <c r="Y677" s="5"/>
      <c r="Z677" s="25">
        <v>31.8</v>
      </c>
      <c r="AA677" s="30"/>
    </row>
    <row r="678" spans="1:27" ht="18" x14ac:dyDescent="0.45">
      <c r="A678" s="5">
        <v>676</v>
      </c>
      <c r="B678" s="35">
        <v>225622</v>
      </c>
      <c r="C678" s="3" t="s">
        <v>920</v>
      </c>
      <c r="D678" s="36" t="s">
        <v>156</v>
      </c>
      <c r="E678" s="36"/>
      <c r="F678" s="36"/>
      <c r="G678" s="36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  <c r="U678" s="9">
        <v>0.26041666666666669</v>
      </c>
      <c r="V678" s="9"/>
      <c r="W678" s="9"/>
      <c r="X678" s="5"/>
      <c r="Y678" s="5"/>
      <c r="Z678" s="25">
        <v>16.3</v>
      </c>
      <c r="AA678" s="30"/>
    </row>
    <row r="679" spans="1:27" ht="18" x14ac:dyDescent="0.45">
      <c r="A679" s="5">
        <v>677</v>
      </c>
      <c r="B679" s="35">
        <v>161491</v>
      </c>
      <c r="C679" s="3" t="s">
        <v>923</v>
      </c>
      <c r="D679" s="36" t="s">
        <v>63</v>
      </c>
      <c r="E679" s="36"/>
      <c r="F679" s="36"/>
      <c r="G679" s="36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  <c r="U679" s="9" t="s">
        <v>924</v>
      </c>
      <c r="V679" s="9"/>
      <c r="W679" s="9"/>
      <c r="X679" s="5">
        <v>1</v>
      </c>
      <c r="Y679" s="5"/>
      <c r="Z679" s="25">
        <v>20</v>
      </c>
      <c r="AA679" s="30"/>
    </row>
    <row r="680" spans="1:27" ht="18" x14ac:dyDescent="0.45">
      <c r="A680" s="5">
        <v>678</v>
      </c>
      <c r="B680" s="35">
        <v>224425</v>
      </c>
      <c r="C680" s="3" t="s">
        <v>918</v>
      </c>
      <c r="D680" s="36" t="s">
        <v>925</v>
      </c>
      <c r="E680" s="36"/>
      <c r="F680" s="36"/>
      <c r="G680" s="36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  <c r="U680" s="9">
        <v>0.20833333333333334</v>
      </c>
      <c r="V680" s="9"/>
      <c r="W680" s="9"/>
      <c r="X680" s="5">
        <v>1</v>
      </c>
      <c r="Y680" s="5">
        <v>1</v>
      </c>
      <c r="Z680" s="25">
        <v>24.6</v>
      </c>
      <c r="AA680" s="30"/>
    </row>
    <row r="681" spans="1:27" ht="18" x14ac:dyDescent="0.45">
      <c r="A681" s="5">
        <v>679</v>
      </c>
      <c r="B681" s="35">
        <v>165425</v>
      </c>
      <c r="C681" s="3" t="s">
        <v>918</v>
      </c>
      <c r="D681" s="36" t="s">
        <v>67</v>
      </c>
      <c r="E681" s="36"/>
      <c r="F681" s="36"/>
      <c r="G681" s="36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  <c r="U681" s="9">
        <v>0.20833333333333334</v>
      </c>
      <c r="V681" s="9"/>
      <c r="W681" s="9"/>
      <c r="X681" s="5">
        <v>1</v>
      </c>
      <c r="Y681" s="5"/>
      <c r="Z681" s="25">
        <v>21.3</v>
      </c>
      <c r="AA681" s="30"/>
    </row>
    <row r="682" spans="1:27" ht="18" x14ac:dyDescent="0.45">
      <c r="A682" s="5">
        <v>680</v>
      </c>
      <c r="B682" s="35">
        <v>225491</v>
      </c>
      <c r="C682" s="3" t="s">
        <v>926</v>
      </c>
      <c r="D682" s="36" t="s">
        <v>156</v>
      </c>
      <c r="E682" s="36"/>
      <c r="F682" s="36"/>
      <c r="G682" s="36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  <c r="U682" s="9">
        <v>0.16666666666666666</v>
      </c>
      <c r="V682" s="9"/>
      <c r="W682" s="9"/>
      <c r="X682" s="5">
        <v>1</v>
      </c>
      <c r="Y682" s="5"/>
      <c r="Z682" s="25">
        <v>18</v>
      </c>
      <c r="AA682" s="30"/>
    </row>
    <row r="683" spans="1:27" ht="18" x14ac:dyDescent="0.45">
      <c r="A683" s="5">
        <v>681</v>
      </c>
      <c r="B683" s="35" t="s">
        <v>280</v>
      </c>
      <c r="C683" s="3" t="s">
        <v>59</v>
      </c>
      <c r="D683" s="36" t="s">
        <v>4</v>
      </c>
      <c r="E683" s="36"/>
      <c r="F683" s="36"/>
      <c r="G683" s="36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  <c r="U683" s="9">
        <v>4.1666666666666664E-2</v>
      </c>
      <c r="V683" s="9"/>
      <c r="W683" s="9"/>
      <c r="X683" s="5"/>
      <c r="Y683" s="5"/>
      <c r="Z683" s="25">
        <v>1.5</v>
      </c>
      <c r="AA683" s="30"/>
    </row>
    <row r="684" spans="1:27" ht="18" x14ac:dyDescent="0.45">
      <c r="A684" s="5">
        <v>682</v>
      </c>
      <c r="B684" s="35">
        <v>224421</v>
      </c>
      <c r="C684" s="3" t="s">
        <v>933</v>
      </c>
      <c r="D684" s="36" t="s">
        <v>925</v>
      </c>
      <c r="E684" s="36"/>
      <c r="F684" s="36"/>
      <c r="G684" s="36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  <c r="U684" s="9">
        <v>0.16666666666666666</v>
      </c>
      <c r="V684" s="9"/>
      <c r="W684" s="9"/>
      <c r="X684" s="5">
        <v>1</v>
      </c>
      <c r="Y684" s="5">
        <v>1</v>
      </c>
      <c r="Z684" s="25">
        <v>15.6</v>
      </c>
      <c r="AA684" s="30"/>
    </row>
    <row r="685" spans="1:27" ht="18" x14ac:dyDescent="0.45">
      <c r="A685" s="5">
        <v>683</v>
      </c>
      <c r="B685" s="35">
        <v>225493</v>
      </c>
      <c r="C685" s="3" t="s">
        <v>934</v>
      </c>
      <c r="D685" s="36" t="s">
        <v>156</v>
      </c>
      <c r="E685" s="36"/>
      <c r="F685" s="36"/>
      <c r="G685" s="36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  <c r="U685" s="9">
        <v>0.20833333333333334</v>
      </c>
      <c r="V685" s="9"/>
      <c r="W685" s="9"/>
      <c r="X685" s="5">
        <v>1</v>
      </c>
      <c r="Y685" s="5">
        <v>9</v>
      </c>
      <c r="Z685" s="25">
        <v>21.8</v>
      </c>
      <c r="AA685" s="30"/>
    </row>
    <row r="686" spans="1:27" ht="18" x14ac:dyDescent="0.45">
      <c r="A686" s="5">
        <v>684</v>
      </c>
      <c r="B686" s="35" t="s">
        <v>937</v>
      </c>
      <c r="C686" s="3" t="s">
        <v>99</v>
      </c>
      <c r="D686" s="36" t="s">
        <v>70</v>
      </c>
      <c r="E686" s="36"/>
      <c r="F686" s="36"/>
      <c r="G686" s="36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  <c r="U686" s="9">
        <v>0.33333333333333331</v>
      </c>
      <c r="V686" s="9"/>
      <c r="W686" s="9"/>
      <c r="X686" s="5">
        <v>1</v>
      </c>
      <c r="Y686" s="5">
        <v>19</v>
      </c>
      <c r="Z686" s="25">
        <v>30.4</v>
      </c>
      <c r="AA686" s="30"/>
    </row>
    <row r="687" spans="1:27" ht="18" x14ac:dyDescent="0.45">
      <c r="A687" s="5">
        <v>685</v>
      </c>
      <c r="B687" s="35" t="s">
        <v>938</v>
      </c>
      <c r="C687" s="3" t="s">
        <v>918</v>
      </c>
      <c r="D687" s="36" t="s">
        <v>70</v>
      </c>
      <c r="E687" s="36"/>
      <c r="F687" s="36"/>
      <c r="G687" s="36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  <c r="U687" s="9">
        <v>0.20833333333333334</v>
      </c>
      <c r="V687" s="9"/>
      <c r="W687" s="9"/>
      <c r="X687" s="5">
        <v>1</v>
      </c>
      <c r="Y687" s="5">
        <v>1</v>
      </c>
      <c r="Z687" s="25">
        <v>15.7</v>
      </c>
      <c r="AA687" s="30"/>
    </row>
    <row r="688" spans="1:27" ht="18" x14ac:dyDescent="0.45">
      <c r="A688" s="5">
        <v>686</v>
      </c>
      <c r="B688" s="35" t="s">
        <v>939</v>
      </c>
      <c r="C688" s="3" t="s">
        <v>3</v>
      </c>
      <c r="D688" s="36" t="s">
        <v>65</v>
      </c>
      <c r="E688" s="36"/>
      <c r="F688" s="36"/>
      <c r="G688" s="36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  <c r="U688" s="9">
        <v>0.20833333333333334</v>
      </c>
      <c r="V688" s="9"/>
      <c r="W688" s="9"/>
      <c r="X688" s="5">
        <v>1</v>
      </c>
      <c r="Y688" s="5">
        <v>2</v>
      </c>
      <c r="Z688" s="41">
        <v>34</v>
      </c>
      <c r="AA688" s="30"/>
    </row>
    <row r="689" spans="1:27" ht="18" x14ac:dyDescent="0.45">
      <c r="A689" s="5">
        <v>687</v>
      </c>
      <c r="B689" s="35" t="s">
        <v>941</v>
      </c>
      <c r="C689" s="3" t="s">
        <v>940</v>
      </c>
      <c r="D689" s="36" t="s">
        <v>63</v>
      </c>
      <c r="E689" s="36"/>
      <c r="F689" s="36"/>
      <c r="G689" s="36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  <c r="U689" s="9">
        <v>0.20833333333333334</v>
      </c>
      <c r="V689" s="9"/>
      <c r="W689" s="9"/>
      <c r="X689" s="5">
        <v>1</v>
      </c>
      <c r="Y689" s="5">
        <v>9</v>
      </c>
      <c r="Z689" s="25" t="s">
        <v>1271</v>
      </c>
      <c r="AA689" s="30"/>
    </row>
    <row r="690" spans="1:27" ht="18" x14ac:dyDescent="0.45">
      <c r="A690" s="5">
        <v>688</v>
      </c>
      <c r="B690" s="35" t="s">
        <v>942</v>
      </c>
      <c r="C690" s="3" t="s">
        <v>935</v>
      </c>
      <c r="D690" s="36" t="s">
        <v>63</v>
      </c>
      <c r="E690" s="36"/>
      <c r="F690" s="36"/>
      <c r="G690" s="36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  <c r="U690" s="9">
        <v>2.0833333333333332E-2</v>
      </c>
      <c r="V690" s="9"/>
      <c r="W690" s="9"/>
      <c r="X690" s="5">
        <v>1</v>
      </c>
      <c r="Y690" s="5">
        <v>2</v>
      </c>
      <c r="Z690" s="25">
        <v>2.6</v>
      </c>
      <c r="AA690" s="30"/>
    </row>
    <row r="691" spans="1:27" ht="18" x14ac:dyDescent="0.45">
      <c r="A691" s="5">
        <v>689</v>
      </c>
      <c r="B691" s="35">
        <v>161475</v>
      </c>
      <c r="C691" s="3" t="s">
        <v>166</v>
      </c>
      <c r="D691" s="36" t="s">
        <v>63</v>
      </c>
      <c r="E691" s="36"/>
      <c r="F691" s="36"/>
      <c r="G691" s="36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  <c r="U691" s="9">
        <v>4.1666666666666664E-2</v>
      </c>
      <c r="V691" s="9"/>
      <c r="W691" s="9"/>
      <c r="X691" s="5">
        <v>1</v>
      </c>
      <c r="Y691" s="5">
        <v>1</v>
      </c>
      <c r="Z691" s="25">
        <v>2.1</v>
      </c>
      <c r="AA691" s="30"/>
    </row>
    <row r="692" spans="1:27" ht="18" x14ac:dyDescent="0.45">
      <c r="A692" s="5">
        <v>690</v>
      </c>
      <c r="B692" s="35">
        <v>500475</v>
      </c>
      <c r="C692" s="3" t="s">
        <v>166</v>
      </c>
      <c r="D692" s="36" t="s">
        <v>9</v>
      </c>
      <c r="E692" s="36"/>
      <c r="F692" s="36"/>
      <c r="G692" s="36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  <c r="U692" s="9">
        <v>4.1666666666666664E-2</v>
      </c>
      <c r="V692" s="9"/>
      <c r="W692" s="9"/>
      <c r="X692" s="5">
        <v>1</v>
      </c>
      <c r="Y692" s="5">
        <v>1</v>
      </c>
      <c r="Z692" s="25">
        <v>2.1</v>
      </c>
      <c r="AA692" s="30"/>
    </row>
    <row r="693" spans="1:27" ht="18" x14ac:dyDescent="0.45">
      <c r="A693" s="5">
        <v>691</v>
      </c>
      <c r="B693" s="35" t="s">
        <v>946</v>
      </c>
      <c r="C693" s="3" t="s">
        <v>180</v>
      </c>
      <c r="D693" s="36" t="s">
        <v>925</v>
      </c>
      <c r="E693" s="36"/>
      <c r="F693" s="36"/>
      <c r="G693" s="36"/>
      <c r="H693" s="36"/>
      <c r="I693" s="36"/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  <c r="U693" s="45">
        <v>0.29166666666666669</v>
      </c>
      <c r="V693" s="45"/>
      <c r="W693" s="45"/>
      <c r="X693" s="5">
        <v>1</v>
      </c>
      <c r="Y693" s="5">
        <v>2</v>
      </c>
      <c r="Z693" s="25">
        <v>16</v>
      </c>
      <c r="AA693" s="30"/>
    </row>
    <row r="694" spans="1:27" ht="18" x14ac:dyDescent="0.45">
      <c r="A694" s="5">
        <v>692</v>
      </c>
      <c r="B694" s="35" t="s">
        <v>947</v>
      </c>
      <c r="C694" s="3" t="s">
        <v>66</v>
      </c>
      <c r="D694" s="36" t="s">
        <v>948</v>
      </c>
      <c r="E694" s="36"/>
      <c r="F694" s="36"/>
      <c r="G694" s="36"/>
      <c r="H694" s="36"/>
      <c r="I694" s="36"/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  <c r="U694" s="45">
        <v>0.5</v>
      </c>
      <c r="V694" s="45"/>
      <c r="W694" s="45"/>
      <c r="X694" s="5">
        <v>1</v>
      </c>
      <c r="Y694" s="5">
        <v>1</v>
      </c>
      <c r="Z694" s="25">
        <v>25.9</v>
      </c>
      <c r="AA694" s="30"/>
    </row>
    <row r="695" spans="1:27" ht="18" x14ac:dyDescent="0.45">
      <c r="A695" s="5">
        <v>693</v>
      </c>
      <c r="B695" s="35" t="s">
        <v>949</v>
      </c>
      <c r="C695" s="3" t="s">
        <v>43</v>
      </c>
      <c r="D695" s="36" t="s">
        <v>24</v>
      </c>
      <c r="E695" s="36"/>
      <c r="F695" s="36"/>
      <c r="G695" s="36"/>
      <c r="H695" s="36"/>
      <c r="I695" s="36"/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  <c r="U695" s="9"/>
      <c r="V695" s="9"/>
      <c r="W695" s="9"/>
      <c r="X695" s="5">
        <v>1</v>
      </c>
      <c r="Y695" s="5">
        <v>1</v>
      </c>
      <c r="Z695" s="41">
        <v>13.7</v>
      </c>
      <c r="AA695" s="30"/>
    </row>
    <row r="696" spans="1:27" ht="18" x14ac:dyDescent="0.45">
      <c r="A696" s="5">
        <v>694</v>
      </c>
      <c r="B696" s="35" t="s">
        <v>279</v>
      </c>
      <c r="C696" s="3" t="s">
        <v>952</v>
      </c>
      <c r="D696" s="36" t="s">
        <v>4</v>
      </c>
      <c r="E696" s="36"/>
      <c r="F696" s="36"/>
      <c r="G696" s="36"/>
      <c r="H696" s="36"/>
      <c r="I696" s="36"/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  <c r="U696" s="9">
        <v>0.20833333333333334</v>
      </c>
      <c r="V696" s="9"/>
      <c r="W696" s="9"/>
      <c r="X696" s="5"/>
      <c r="Y696" s="5">
        <v>1</v>
      </c>
      <c r="Z696" s="25">
        <v>5.5</v>
      </c>
      <c r="AA696" s="30"/>
    </row>
    <row r="697" spans="1:27" ht="18" x14ac:dyDescent="0.45">
      <c r="A697" s="5">
        <v>695</v>
      </c>
      <c r="B697" s="35" t="s">
        <v>263</v>
      </c>
      <c r="C697" s="3" t="s">
        <v>41</v>
      </c>
      <c r="D697" s="36" t="s">
        <v>4</v>
      </c>
      <c r="E697" s="36"/>
      <c r="F697" s="36"/>
      <c r="G697" s="36"/>
      <c r="H697" s="36"/>
      <c r="I697" s="36"/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  <c r="U697" s="9">
        <v>1.0416666666666666E-2</v>
      </c>
      <c r="V697" s="9"/>
      <c r="W697" s="9"/>
      <c r="X697" s="5">
        <v>1</v>
      </c>
      <c r="Y697" s="5">
        <v>1</v>
      </c>
      <c r="Z697" s="25" t="s">
        <v>954</v>
      </c>
      <c r="AA697" s="30"/>
    </row>
    <row r="698" spans="1:27" ht="18" x14ac:dyDescent="0.45">
      <c r="A698" s="5">
        <v>696</v>
      </c>
      <c r="B698" s="35" t="s">
        <v>955</v>
      </c>
      <c r="C698" s="3" t="s">
        <v>23</v>
      </c>
      <c r="D698" s="36" t="s">
        <v>65</v>
      </c>
      <c r="E698" s="36"/>
      <c r="F698" s="36"/>
      <c r="G698" s="36"/>
      <c r="H698" s="36"/>
      <c r="I698" s="36"/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  <c r="U698" s="42">
        <v>0.875</v>
      </c>
      <c r="V698" s="42"/>
      <c r="W698" s="42"/>
      <c r="X698" s="5">
        <v>1</v>
      </c>
      <c r="Y698" s="5">
        <v>3</v>
      </c>
      <c r="Z698" s="25">
        <v>45</v>
      </c>
      <c r="AA698" s="30"/>
    </row>
    <row r="699" spans="1:27" ht="18" x14ac:dyDescent="0.45">
      <c r="A699" s="5">
        <v>697</v>
      </c>
      <c r="B699" s="35" t="s">
        <v>956</v>
      </c>
      <c r="C699" s="3" t="s">
        <v>935</v>
      </c>
      <c r="D699" s="36" t="s">
        <v>4</v>
      </c>
      <c r="E699" s="36"/>
      <c r="F699" s="36"/>
      <c r="G699" s="36"/>
      <c r="H699" s="36"/>
      <c r="I699" s="36"/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  <c r="U699" s="9">
        <v>2.0833333333333332E-2</v>
      </c>
      <c r="V699" s="9"/>
      <c r="W699" s="9"/>
      <c r="X699" s="5">
        <v>1</v>
      </c>
      <c r="Y699" s="5">
        <v>2</v>
      </c>
      <c r="Z699" s="25">
        <v>1.6</v>
      </c>
      <c r="AA699" s="30"/>
    </row>
    <row r="700" spans="1:27" ht="18" x14ac:dyDescent="0.45">
      <c r="A700" s="5">
        <v>698</v>
      </c>
      <c r="B700" s="35" t="s">
        <v>957</v>
      </c>
      <c r="C700" s="3" t="s">
        <v>889</v>
      </c>
      <c r="D700" s="36" t="s">
        <v>865</v>
      </c>
      <c r="E700" s="36"/>
      <c r="F700" s="36"/>
      <c r="G700" s="36"/>
      <c r="H700" s="36"/>
      <c r="I700" s="36"/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  <c r="U700" s="9">
        <v>0.33333333333333331</v>
      </c>
      <c r="V700" s="9"/>
      <c r="W700" s="9"/>
      <c r="X700" s="5">
        <v>1</v>
      </c>
      <c r="Y700" s="5">
        <v>7</v>
      </c>
      <c r="Z700" s="25">
        <v>24.8</v>
      </c>
      <c r="AA700" s="30"/>
    </row>
    <row r="701" spans="1:27" ht="18" x14ac:dyDescent="0.45">
      <c r="A701" s="5">
        <v>699</v>
      </c>
      <c r="B701" s="35" t="s">
        <v>970</v>
      </c>
      <c r="C701" s="3" t="s">
        <v>889</v>
      </c>
      <c r="D701" s="36" t="s">
        <v>153</v>
      </c>
      <c r="E701" s="36"/>
      <c r="F701" s="36"/>
      <c r="G701" s="36"/>
      <c r="H701" s="36"/>
      <c r="I701" s="36"/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  <c r="U701" s="9">
        <v>0.33333333333333331</v>
      </c>
      <c r="V701" s="9"/>
      <c r="W701" s="9"/>
      <c r="X701" s="5">
        <v>1</v>
      </c>
      <c r="Y701" s="5">
        <v>25</v>
      </c>
      <c r="Z701" s="25">
        <v>35.1</v>
      </c>
      <c r="AA701" s="30"/>
    </row>
    <row r="702" spans="1:27" ht="18" x14ac:dyDescent="0.45">
      <c r="A702" s="5">
        <v>700</v>
      </c>
      <c r="B702" s="35" t="s">
        <v>974</v>
      </c>
      <c r="C702" s="3" t="s">
        <v>975</v>
      </c>
      <c r="D702" s="36" t="s">
        <v>63</v>
      </c>
      <c r="E702" s="36"/>
      <c r="F702" s="36"/>
      <c r="G702" s="36"/>
      <c r="H702" s="36"/>
      <c r="I702" s="36"/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  <c r="U702" s="42">
        <v>0.66666666666666663</v>
      </c>
      <c r="V702" s="42"/>
      <c r="W702" s="42"/>
      <c r="X702" s="5"/>
      <c r="Y702" s="5">
        <v>5</v>
      </c>
      <c r="Z702" s="25">
        <v>67.5</v>
      </c>
      <c r="AA702" s="30"/>
    </row>
    <row r="703" spans="1:27" ht="18" x14ac:dyDescent="0.45">
      <c r="A703" s="5">
        <v>701</v>
      </c>
      <c r="B703" s="35" t="s">
        <v>977</v>
      </c>
      <c r="C703" s="3" t="s">
        <v>976</v>
      </c>
      <c r="D703" s="36" t="s">
        <v>205</v>
      </c>
      <c r="E703" s="36"/>
      <c r="F703" s="36"/>
      <c r="G703" s="36"/>
      <c r="H703" s="36"/>
      <c r="I703" s="36"/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  <c r="U703" s="42">
        <v>0.41666666666666669</v>
      </c>
      <c r="V703" s="42"/>
      <c r="W703" s="42"/>
      <c r="X703" s="5">
        <v>3</v>
      </c>
      <c r="Y703" s="5">
        <v>5</v>
      </c>
      <c r="Z703" s="25">
        <v>63.1</v>
      </c>
      <c r="AA703" s="30"/>
    </row>
    <row r="704" spans="1:27" ht="18" x14ac:dyDescent="0.45">
      <c r="A704" s="5">
        <v>702</v>
      </c>
      <c r="B704" s="35" t="s">
        <v>981</v>
      </c>
      <c r="C704" s="3" t="s">
        <v>3</v>
      </c>
      <c r="D704" s="36" t="s">
        <v>199</v>
      </c>
      <c r="E704" s="36"/>
      <c r="F704" s="36"/>
      <c r="G704" s="36"/>
      <c r="H704" s="36"/>
      <c r="I704" s="36"/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  <c r="U704" s="9">
        <v>0.16666666666666666</v>
      </c>
      <c r="V704" s="9"/>
      <c r="W704" s="9"/>
      <c r="X704" s="5">
        <v>1</v>
      </c>
      <c r="Y704" s="5">
        <v>2</v>
      </c>
      <c r="Z704" s="25">
        <v>38.700000000000003</v>
      </c>
      <c r="AA704" s="30"/>
    </row>
    <row r="705" spans="1:27" ht="18" x14ac:dyDescent="0.45">
      <c r="A705" s="5">
        <v>703</v>
      </c>
      <c r="B705" s="35" t="s">
        <v>982</v>
      </c>
      <c r="C705" s="3" t="s">
        <v>967</v>
      </c>
      <c r="D705" s="36" t="s">
        <v>63</v>
      </c>
      <c r="E705" s="36"/>
      <c r="F705" s="36"/>
      <c r="G705" s="36"/>
      <c r="H705" s="36"/>
      <c r="I705" s="36"/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  <c r="U705" s="9">
        <v>4.1666666666666664E-2</v>
      </c>
      <c r="V705" s="9"/>
      <c r="W705" s="9"/>
      <c r="X705" s="5">
        <v>1</v>
      </c>
      <c r="Y705" s="5">
        <v>1</v>
      </c>
      <c r="Z705" s="25" t="s">
        <v>983</v>
      </c>
      <c r="AA705" s="30"/>
    </row>
    <row r="706" spans="1:27" ht="18" x14ac:dyDescent="0.45">
      <c r="A706" s="5">
        <v>704</v>
      </c>
      <c r="B706" s="35" t="s">
        <v>984</v>
      </c>
      <c r="C706" s="3" t="s">
        <v>967</v>
      </c>
      <c r="D706" s="36" t="s">
        <v>69</v>
      </c>
      <c r="E706" s="36"/>
      <c r="F706" s="36"/>
      <c r="G706" s="36"/>
      <c r="H706" s="36"/>
      <c r="I706" s="36"/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  <c r="U706" s="9">
        <v>4.1666666666666664E-2</v>
      </c>
      <c r="V706" s="9"/>
      <c r="W706" s="9"/>
      <c r="X706" s="5">
        <v>1</v>
      </c>
      <c r="Y706" s="5">
        <v>1</v>
      </c>
      <c r="Z706" s="25" t="s">
        <v>983</v>
      </c>
      <c r="AA706" s="30"/>
    </row>
    <row r="707" spans="1:27" ht="18" x14ac:dyDescent="0.45">
      <c r="A707" s="5">
        <v>705</v>
      </c>
      <c r="B707" s="35" t="s">
        <v>1002</v>
      </c>
      <c r="C707" s="3" t="s">
        <v>95</v>
      </c>
      <c r="D707" s="36" t="s">
        <v>586</v>
      </c>
      <c r="E707" s="36"/>
      <c r="F707" s="36"/>
      <c r="G707" s="36"/>
      <c r="H707" s="36"/>
      <c r="I707" s="36"/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  <c r="U707" s="9">
        <v>0.16666666666666666</v>
      </c>
      <c r="V707" s="9"/>
      <c r="W707" s="9"/>
      <c r="X707" s="5">
        <v>1</v>
      </c>
      <c r="Y707" s="5">
        <v>5</v>
      </c>
      <c r="Z707" s="25">
        <v>17.600000000000001</v>
      </c>
      <c r="AA707" s="30"/>
    </row>
    <row r="708" spans="1:27" ht="18" x14ac:dyDescent="0.45">
      <c r="A708" s="5">
        <v>706</v>
      </c>
      <c r="B708" s="35" t="s">
        <v>1004</v>
      </c>
      <c r="C708" s="3" t="s">
        <v>1003</v>
      </c>
      <c r="D708" s="36" t="s">
        <v>966</v>
      </c>
      <c r="E708" s="36"/>
      <c r="F708" s="36"/>
      <c r="G708" s="36"/>
      <c r="H708" s="36"/>
      <c r="I708" s="36"/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  <c r="U708" s="9">
        <v>0.25</v>
      </c>
      <c r="V708" s="9"/>
      <c r="W708" s="9"/>
      <c r="X708" s="5">
        <v>1</v>
      </c>
      <c r="Y708" s="5">
        <v>2</v>
      </c>
      <c r="Z708" s="25">
        <v>52.7</v>
      </c>
      <c r="AA708" s="30"/>
    </row>
    <row r="709" spans="1:27" ht="18" x14ac:dyDescent="0.45">
      <c r="A709" s="5">
        <v>707</v>
      </c>
      <c r="B709" s="35" t="s">
        <v>1006</v>
      </c>
      <c r="C709" s="3" t="s">
        <v>1005</v>
      </c>
      <c r="D709" s="36" t="s">
        <v>199</v>
      </c>
      <c r="E709" s="36"/>
      <c r="F709" s="36"/>
      <c r="G709" s="36"/>
      <c r="H709" s="36"/>
      <c r="I709" s="36"/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  <c r="U709" s="9">
        <v>0.375</v>
      </c>
      <c r="V709" s="9"/>
      <c r="W709" s="9"/>
      <c r="X709" s="5">
        <v>1</v>
      </c>
      <c r="Y709" s="5">
        <v>25</v>
      </c>
      <c r="Z709" s="25">
        <v>38.6</v>
      </c>
      <c r="AA709" s="30"/>
    </row>
    <row r="710" spans="1:27" ht="18" x14ac:dyDescent="0.45">
      <c r="A710" s="5">
        <v>708</v>
      </c>
      <c r="B710" s="35" t="s">
        <v>443</v>
      </c>
      <c r="C710" s="3" t="s">
        <v>990</v>
      </c>
      <c r="D710" s="36" t="s">
        <v>1007</v>
      </c>
      <c r="E710" s="36"/>
      <c r="F710" s="36"/>
      <c r="G710" s="36"/>
      <c r="H710" s="36"/>
      <c r="I710" s="36"/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  <c r="U710" s="45">
        <v>2.0833333333333332E-2</v>
      </c>
      <c r="V710" s="45"/>
      <c r="W710" s="45"/>
      <c r="X710" s="5"/>
      <c r="Y710" s="5">
        <v>15</v>
      </c>
      <c r="Z710" s="25">
        <v>5.5</v>
      </c>
      <c r="AA710" s="30"/>
    </row>
    <row r="711" spans="1:27" ht="18" x14ac:dyDescent="0.45">
      <c r="A711" s="5">
        <v>709</v>
      </c>
      <c r="B711" s="35" t="s">
        <v>1011</v>
      </c>
      <c r="C711" s="3" t="s">
        <v>933</v>
      </c>
      <c r="D711" s="36" t="s">
        <v>76</v>
      </c>
      <c r="E711" s="36"/>
      <c r="F711" s="36"/>
      <c r="G711" s="36"/>
      <c r="H711" s="36"/>
      <c r="I711" s="36"/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  <c r="U711" s="9">
        <v>0.25</v>
      </c>
      <c r="V711" s="9"/>
      <c r="W711" s="9"/>
      <c r="X711" s="5">
        <v>1</v>
      </c>
      <c r="Y711" s="5">
        <v>1</v>
      </c>
      <c r="Z711" s="25">
        <v>19.7</v>
      </c>
      <c r="AA711" s="30"/>
    </row>
    <row r="712" spans="1:27" ht="18" x14ac:dyDescent="0.45">
      <c r="A712" s="5">
        <v>710</v>
      </c>
      <c r="B712" s="35" t="s">
        <v>1012</v>
      </c>
      <c r="C712" s="3" t="s">
        <v>908</v>
      </c>
      <c r="D712" s="36" t="s">
        <v>1013</v>
      </c>
      <c r="E712" s="36"/>
      <c r="F712" s="36"/>
      <c r="G712" s="36"/>
      <c r="H712" s="36"/>
      <c r="I712" s="36"/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  <c r="U712" s="9"/>
      <c r="V712" s="9"/>
      <c r="W712" s="9"/>
      <c r="X712" s="5">
        <v>1</v>
      </c>
      <c r="Y712" s="5">
        <v>2</v>
      </c>
      <c r="Z712" s="25">
        <v>4.2</v>
      </c>
      <c r="AA712" s="30"/>
    </row>
    <row r="713" spans="1:27" ht="18" x14ac:dyDescent="0.45">
      <c r="A713" s="5">
        <v>711</v>
      </c>
      <c r="B713" s="35" t="s">
        <v>1014</v>
      </c>
      <c r="C713" s="3" t="s">
        <v>908</v>
      </c>
      <c r="D713" s="36" t="s">
        <v>108</v>
      </c>
      <c r="E713" s="36"/>
      <c r="F713" s="36"/>
      <c r="G713" s="36"/>
      <c r="H713" s="36"/>
      <c r="I713" s="36"/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  <c r="U713" s="9"/>
      <c r="V713" s="9"/>
      <c r="W713" s="9"/>
      <c r="X713" s="5">
        <v>1</v>
      </c>
      <c r="Y713" s="5">
        <v>2</v>
      </c>
      <c r="Z713" s="25">
        <v>4.3</v>
      </c>
      <c r="AA713" s="30"/>
    </row>
    <row r="714" spans="1:27" ht="18" x14ac:dyDescent="0.45">
      <c r="A714" s="5">
        <v>712</v>
      </c>
      <c r="B714" s="35" t="s">
        <v>1015</v>
      </c>
      <c r="C714" s="3" t="s">
        <v>908</v>
      </c>
      <c r="D714" s="36" t="s">
        <v>69</v>
      </c>
      <c r="E714" s="36"/>
      <c r="F714" s="36"/>
      <c r="G714" s="36"/>
      <c r="H714" s="36"/>
      <c r="I714" s="36"/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  <c r="U714" s="9"/>
      <c r="V714" s="9"/>
      <c r="W714" s="9"/>
      <c r="X714" s="5">
        <v>1</v>
      </c>
      <c r="Y714" s="5">
        <v>2</v>
      </c>
      <c r="Z714" s="25">
        <v>3.6</v>
      </c>
      <c r="AA714" s="30"/>
    </row>
    <row r="715" spans="1:27" ht="18" x14ac:dyDescent="0.45">
      <c r="A715" s="5">
        <v>713</v>
      </c>
      <c r="B715" s="35" t="s">
        <v>1023</v>
      </c>
      <c r="C715" s="3" t="s">
        <v>1022</v>
      </c>
      <c r="D715" s="36" t="s">
        <v>65</v>
      </c>
      <c r="E715" s="36"/>
      <c r="F715" s="36"/>
      <c r="G715" s="36"/>
      <c r="H715" s="36"/>
      <c r="I715" s="36"/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  <c r="U715" s="9"/>
      <c r="V715" s="9"/>
      <c r="W715" s="9"/>
      <c r="X715" s="5">
        <v>1</v>
      </c>
      <c r="Y715" s="5">
        <v>25</v>
      </c>
      <c r="Z715" s="25">
        <v>32.6</v>
      </c>
      <c r="AA715" s="30"/>
    </row>
    <row r="716" spans="1:27" ht="18" x14ac:dyDescent="0.45">
      <c r="A716" s="5">
        <v>714</v>
      </c>
      <c r="B716" s="35" t="s">
        <v>1026</v>
      </c>
      <c r="C716" s="3" t="s">
        <v>368</v>
      </c>
      <c r="D716" s="36" t="s">
        <v>65</v>
      </c>
      <c r="E716" s="36"/>
      <c r="F716" s="36"/>
      <c r="G716" s="36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  <c r="U716" s="9">
        <v>0.16666666666666666</v>
      </c>
      <c r="V716" s="9"/>
      <c r="W716" s="9"/>
      <c r="X716" s="5">
        <v>1</v>
      </c>
      <c r="Y716" s="5">
        <v>2</v>
      </c>
      <c r="Z716" s="25">
        <v>20.399999999999999</v>
      </c>
      <c r="AA716" s="30"/>
    </row>
    <row r="717" spans="1:27" ht="18" x14ac:dyDescent="0.45">
      <c r="A717" s="5">
        <v>715</v>
      </c>
      <c r="B717" s="35" t="s">
        <v>1028</v>
      </c>
      <c r="C717" s="3" t="s">
        <v>1027</v>
      </c>
      <c r="D717" s="36" t="s">
        <v>65</v>
      </c>
      <c r="E717" s="36"/>
      <c r="F717" s="36"/>
      <c r="G717" s="36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  <c r="U717" s="9"/>
      <c r="V717" s="9"/>
      <c r="W717" s="9"/>
      <c r="X717" s="5"/>
      <c r="Y717" s="5">
        <v>6</v>
      </c>
      <c r="Z717" s="25">
        <v>65.3</v>
      </c>
      <c r="AA717" s="30"/>
    </row>
    <row r="718" spans="1:27" ht="18" x14ac:dyDescent="0.45">
      <c r="A718" s="5">
        <v>716</v>
      </c>
      <c r="B718" s="35" t="s">
        <v>1029</v>
      </c>
      <c r="C718" s="3" t="s">
        <v>66</v>
      </c>
      <c r="D718" s="36" t="s">
        <v>65</v>
      </c>
      <c r="E718" s="36"/>
      <c r="F718" s="36"/>
      <c r="G718" s="36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  <c r="U718" s="9">
        <v>0.33333333333333331</v>
      </c>
      <c r="V718" s="9"/>
      <c r="W718" s="9"/>
      <c r="X718" s="5">
        <v>3</v>
      </c>
      <c r="Y718" s="5">
        <v>6</v>
      </c>
      <c r="Z718" s="25">
        <v>66.099999999999994</v>
      </c>
      <c r="AA718" s="30"/>
    </row>
    <row r="719" spans="1:27" ht="18" x14ac:dyDescent="0.45">
      <c r="A719" s="5">
        <v>717</v>
      </c>
      <c r="B719" s="35" t="s">
        <v>1033</v>
      </c>
      <c r="C719" s="3" t="s">
        <v>1032</v>
      </c>
      <c r="D719" s="36" t="s">
        <v>586</v>
      </c>
      <c r="E719" s="36"/>
      <c r="F719" s="36"/>
      <c r="G719" s="36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  <c r="U719" s="9">
        <v>1.0416666666666666E-2</v>
      </c>
      <c r="V719" s="9"/>
      <c r="W719" s="9"/>
      <c r="X719" s="5">
        <v>1</v>
      </c>
      <c r="Y719" s="5">
        <v>1</v>
      </c>
      <c r="Z719" s="25">
        <v>10.4</v>
      </c>
      <c r="AA719" s="30"/>
    </row>
    <row r="720" spans="1:27" ht="18" x14ac:dyDescent="0.45">
      <c r="A720" s="5">
        <v>718</v>
      </c>
      <c r="B720" s="35" t="s">
        <v>1036</v>
      </c>
      <c r="C720" s="3" t="s">
        <v>991</v>
      </c>
      <c r="D720" s="36" t="s">
        <v>175</v>
      </c>
      <c r="E720" s="36"/>
      <c r="F720" s="36"/>
      <c r="G720" s="36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  <c r="U720" s="9">
        <v>0.125</v>
      </c>
      <c r="V720" s="9"/>
      <c r="W720" s="9"/>
      <c r="X720" s="5">
        <v>1</v>
      </c>
      <c r="Y720" s="5">
        <v>5</v>
      </c>
      <c r="Z720" s="25">
        <v>3.9</v>
      </c>
      <c r="AA720" s="30"/>
    </row>
    <row r="721" spans="1:27" ht="18" x14ac:dyDescent="0.45">
      <c r="A721" s="5">
        <v>719</v>
      </c>
      <c r="B721" s="35" t="s">
        <v>1037</v>
      </c>
      <c r="C721" s="3" t="s">
        <v>991</v>
      </c>
      <c r="D721" s="36" t="s">
        <v>231</v>
      </c>
      <c r="E721" s="36"/>
      <c r="F721" s="36"/>
      <c r="G721" s="36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  <c r="U721" s="9">
        <v>0.125</v>
      </c>
      <c r="V721" s="9"/>
      <c r="W721" s="9"/>
      <c r="X721" s="5">
        <v>1</v>
      </c>
      <c r="Y721" s="5">
        <v>5</v>
      </c>
      <c r="Z721" s="25">
        <v>3.34</v>
      </c>
      <c r="AA721" s="30"/>
    </row>
    <row r="722" spans="1:27" ht="18" x14ac:dyDescent="0.45">
      <c r="A722" s="5">
        <v>720</v>
      </c>
      <c r="B722" s="35" t="s">
        <v>1038</v>
      </c>
      <c r="C722" s="3" t="s">
        <v>906</v>
      </c>
      <c r="D722" s="36" t="s">
        <v>1039</v>
      </c>
      <c r="E722" s="36"/>
      <c r="F722" s="36"/>
      <c r="G722" s="36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  <c r="U722" s="9">
        <v>4.1666666666666664E-2</v>
      </c>
      <c r="V722" s="9"/>
      <c r="W722" s="9"/>
      <c r="X722" s="5">
        <v>1</v>
      </c>
      <c r="Y722" s="5">
        <v>2</v>
      </c>
      <c r="Z722" s="25" t="s">
        <v>1279</v>
      </c>
      <c r="AA722" s="30"/>
    </row>
    <row r="723" spans="1:27" ht="18" x14ac:dyDescent="0.45">
      <c r="A723" s="5">
        <v>721</v>
      </c>
      <c r="B723" s="35" t="s">
        <v>1096</v>
      </c>
      <c r="C723" s="3" t="s">
        <v>3</v>
      </c>
      <c r="D723" s="36" t="s">
        <v>1007</v>
      </c>
      <c r="E723" s="36"/>
      <c r="F723" s="36"/>
      <c r="G723" s="36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  <c r="U723" s="9">
        <v>0.16666666666666666</v>
      </c>
      <c r="V723" s="9"/>
      <c r="W723" s="9"/>
      <c r="X723" s="5">
        <v>1</v>
      </c>
      <c r="Y723" s="5">
        <v>2</v>
      </c>
      <c r="Z723" s="25">
        <v>41.3</v>
      </c>
      <c r="AA723" s="30"/>
    </row>
    <row r="724" spans="1:27" ht="18" x14ac:dyDescent="0.45">
      <c r="A724" s="5">
        <v>722</v>
      </c>
      <c r="B724" s="35" t="s">
        <v>1103</v>
      </c>
      <c r="C724" s="3" t="s">
        <v>1102</v>
      </c>
      <c r="D724" s="36" t="s">
        <v>68</v>
      </c>
      <c r="E724" s="36"/>
      <c r="F724" s="36"/>
      <c r="G724" s="36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  <c r="U724" s="9">
        <v>0.70833333333333337</v>
      </c>
      <c r="V724" s="9"/>
      <c r="W724" s="9"/>
      <c r="X724" s="5">
        <v>1</v>
      </c>
      <c r="Y724" s="5">
        <v>1</v>
      </c>
      <c r="Z724" s="25">
        <v>43.5</v>
      </c>
      <c r="AA724" s="30"/>
    </row>
    <row r="725" spans="1:27" ht="18" x14ac:dyDescent="0.45">
      <c r="A725" s="5">
        <v>723</v>
      </c>
      <c r="B725" s="35" t="s">
        <v>1104</v>
      </c>
      <c r="C725" s="3" t="s">
        <v>52</v>
      </c>
      <c r="D725" s="36" t="s">
        <v>68</v>
      </c>
      <c r="E725" s="36"/>
      <c r="F725" s="36"/>
      <c r="G725" s="36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  <c r="U725" s="9">
        <v>0.25</v>
      </c>
      <c r="V725" s="9"/>
      <c r="W725" s="9"/>
      <c r="X725" s="5">
        <v>1</v>
      </c>
      <c r="Y725" s="5">
        <v>1</v>
      </c>
      <c r="Z725" s="25">
        <v>25.5</v>
      </c>
      <c r="AA725" s="30"/>
    </row>
    <row r="726" spans="1:27" ht="18" x14ac:dyDescent="0.45">
      <c r="A726" s="5">
        <v>724</v>
      </c>
      <c r="B726" s="35" t="s">
        <v>1106</v>
      </c>
      <c r="C726" s="3" t="s">
        <v>991</v>
      </c>
      <c r="D726" s="36" t="s">
        <v>1101</v>
      </c>
      <c r="E726" s="36"/>
      <c r="F726" s="36"/>
      <c r="G726" s="36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  <c r="U726" s="9">
        <v>1.3888888888888888E-2</v>
      </c>
      <c r="V726" s="9"/>
      <c r="W726" s="9"/>
      <c r="X726" s="5">
        <v>1</v>
      </c>
      <c r="Y726" s="5">
        <v>5</v>
      </c>
      <c r="Z726" s="25">
        <v>3.1</v>
      </c>
      <c r="AA726" s="30"/>
    </row>
    <row r="727" spans="1:27" ht="18" x14ac:dyDescent="0.45">
      <c r="A727" s="5">
        <v>725</v>
      </c>
      <c r="B727" s="35" t="s">
        <v>1107</v>
      </c>
      <c r="C727" s="3" t="s">
        <v>166</v>
      </c>
      <c r="D727" s="36" t="s">
        <v>74</v>
      </c>
      <c r="E727" s="36"/>
      <c r="F727" s="36"/>
      <c r="G727" s="36"/>
      <c r="H727" s="36"/>
      <c r="I727" s="36"/>
      <c r="J727" s="36"/>
      <c r="K727" s="36"/>
      <c r="L727" s="36"/>
      <c r="M727" s="36"/>
      <c r="N727" s="36"/>
      <c r="O727" s="36"/>
      <c r="P727" s="36"/>
      <c r="Q727" s="36"/>
      <c r="R727" s="36"/>
      <c r="S727" s="36"/>
      <c r="T727" s="36"/>
      <c r="U727" s="9">
        <v>4.1666666666666664E-2</v>
      </c>
      <c r="V727" s="9"/>
      <c r="W727" s="9"/>
      <c r="X727" s="5">
        <v>1</v>
      </c>
      <c r="Y727" s="5">
        <v>1</v>
      </c>
      <c r="Z727" s="25">
        <v>2.9</v>
      </c>
      <c r="AA727" s="30"/>
    </row>
    <row r="728" spans="1:27" ht="18" x14ac:dyDescent="0.45">
      <c r="A728" s="5">
        <v>726</v>
      </c>
      <c r="B728" s="35" t="s">
        <v>1115</v>
      </c>
      <c r="C728" s="3" t="s">
        <v>1102</v>
      </c>
      <c r="D728" s="36" t="s">
        <v>65</v>
      </c>
      <c r="E728" s="36"/>
      <c r="F728" s="36"/>
      <c r="G728" s="36"/>
      <c r="H728" s="36"/>
      <c r="I728" s="36"/>
      <c r="J728" s="36"/>
      <c r="K728" s="36"/>
      <c r="L728" s="36"/>
      <c r="M728" s="36"/>
      <c r="N728" s="36"/>
      <c r="O728" s="36"/>
      <c r="P728" s="36"/>
      <c r="Q728" s="36"/>
      <c r="R728" s="36"/>
      <c r="S728" s="36"/>
      <c r="T728" s="36"/>
      <c r="U728" s="42">
        <v>1.25</v>
      </c>
      <c r="V728" s="42"/>
      <c r="W728" s="42"/>
      <c r="X728" s="5">
        <v>1</v>
      </c>
      <c r="Y728" s="5"/>
      <c r="Z728" s="25">
        <v>48.3</v>
      </c>
      <c r="AA728" s="30"/>
    </row>
    <row r="729" spans="1:27" ht="18" x14ac:dyDescent="0.45">
      <c r="A729" s="5">
        <v>727</v>
      </c>
      <c r="B729" s="35" t="s">
        <v>1117</v>
      </c>
      <c r="C729" s="3" t="s">
        <v>1116</v>
      </c>
      <c r="D729" s="36" t="s">
        <v>1093</v>
      </c>
      <c r="E729" s="36"/>
      <c r="F729" s="36"/>
      <c r="G729" s="36"/>
      <c r="H729" s="36"/>
      <c r="I729" s="36"/>
      <c r="J729" s="36"/>
      <c r="K729" s="36"/>
      <c r="L729" s="36"/>
      <c r="M729" s="36"/>
      <c r="N729" s="36"/>
      <c r="O729" s="36"/>
      <c r="P729" s="36"/>
      <c r="Q729" s="36"/>
      <c r="R729" s="36"/>
      <c r="S729" s="36"/>
      <c r="T729" s="36"/>
      <c r="U729" s="9">
        <v>0.66666666666666663</v>
      </c>
      <c r="V729" s="9"/>
      <c r="W729" s="9"/>
      <c r="X729" s="5">
        <v>3</v>
      </c>
      <c r="Y729" s="5">
        <v>6</v>
      </c>
      <c r="Z729" s="25"/>
      <c r="AA729" s="30"/>
    </row>
    <row r="730" spans="1:27" ht="18" x14ac:dyDescent="0.45">
      <c r="A730" s="5">
        <v>728</v>
      </c>
      <c r="B730" s="35" t="s">
        <v>1118</v>
      </c>
      <c r="C730" s="3" t="s">
        <v>363</v>
      </c>
      <c r="D730" s="36" t="s">
        <v>156</v>
      </c>
      <c r="E730" s="36"/>
      <c r="F730" s="36"/>
      <c r="G730" s="36"/>
      <c r="H730" s="36"/>
      <c r="I730" s="36"/>
      <c r="J730" s="36"/>
      <c r="K730" s="36"/>
      <c r="L730" s="36"/>
      <c r="M730" s="36"/>
      <c r="N730" s="36"/>
      <c r="O730" s="36"/>
      <c r="P730" s="36"/>
      <c r="Q730" s="36"/>
      <c r="R730" s="36"/>
      <c r="S730" s="36"/>
      <c r="T730" s="36"/>
      <c r="U730" s="9">
        <v>1</v>
      </c>
      <c r="V730" s="9"/>
      <c r="W730" s="9"/>
      <c r="X730" s="5">
        <v>1</v>
      </c>
      <c r="Y730" s="5">
        <v>12</v>
      </c>
      <c r="Z730" s="25" t="s">
        <v>1264</v>
      </c>
      <c r="AA730" s="30"/>
    </row>
    <row r="731" spans="1:27" ht="18" x14ac:dyDescent="0.45">
      <c r="A731" s="5">
        <v>729</v>
      </c>
      <c r="B731" s="35" t="s">
        <v>1150</v>
      </c>
      <c r="C731" s="3" t="s">
        <v>1149</v>
      </c>
      <c r="D731" s="36" t="s">
        <v>69</v>
      </c>
      <c r="E731" s="36"/>
      <c r="F731" s="36"/>
      <c r="G731" s="36"/>
      <c r="H731" s="36"/>
      <c r="I731" s="36"/>
      <c r="J731" s="36"/>
      <c r="K731" s="36"/>
      <c r="L731" s="36"/>
      <c r="M731" s="36"/>
      <c r="N731" s="36"/>
      <c r="O731" s="36"/>
      <c r="P731" s="36"/>
      <c r="Q731" s="36"/>
      <c r="R731" s="36"/>
      <c r="S731" s="36"/>
      <c r="T731" s="36"/>
      <c r="U731" s="9">
        <v>0.5</v>
      </c>
      <c r="V731" s="9"/>
      <c r="W731" s="9"/>
      <c r="X731" s="5">
        <v>3</v>
      </c>
      <c r="Y731" s="5">
        <v>6</v>
      </c>
      <c r="Z731" s="25" t="s">
        <v>1265</v>
      </c>
      <c r="AA731" s="30"/>
    </row>
    <row r="732" spans="1:27" ht="18" x14ac:dyDescent="0.45">
      <c r="A732" s="5">
        <v>730</v>
      </c>
      <c r="B732" s="35" t="s">
        <v>1175</v>
      </c>
      <c r="C732" s="3" t="s">
        <v>1110</v>
      </c>
      <c r="D732" s="36" t="s">
        <v>891</v>
      </c>
      <c r="E732" s="36"/>
      <c r="F732" s="36"/>
      <c r="G732" s="36"/>
      <c r="H732" s="36"/>
      <c r="I732" s="36"/>
      <c r="J732" s="36"/>
      <c r="K732" s="36"/>
      <c r="L732" s="36"/>
      <c r="M732" s="36"/>
      <c r="N732" s="36"/>
      <c r="O732" s="36"/>
      <c r="P732" s="36"/>
      <c r="Q732" s="36"/>
      <c r="R732" s="36"/>
      <c r="S732" s="36"/>
      <c r="T732" s="36"/>
      <c r="U732" s="9">
        <v>0.25</v>
      </c>
      <c r="V732" s="9"/>
      <c r="W732" s="9"/>
      <c r="X732" s="5">
        <v>1</v>
      </c>
      <c r="Y732" s="5">
        <v>7</v>
      </c>
      <c r="Z732" s="25">
        <v>33</v>
      </c>
      <c r="AA732" s="30"/>
    </row>
    <row r="733" spans="1:27" ht="18" x14ac:dyDescent="0.45">
      <c r="A733" s="5">
        <v>731</v>
      </c>
      <c r="B733" s="35" t="s">
        <v>259</v>
      </c>
      <c r="C733" s="3" t="s">
        <v>1204</v>
      </c>
      <c r="D733" s="36" t="s">
        <v>200</v>
      </c>
      <c r="E733" s="36"/>
      <c r="F733" s="36"/>
      <c r="G733" s="36"/>
      <c r="H733" s="36"/>
      <c r="I733" s="36"/>
      <c r="J733" s="36"/>
      <c r="K733" s="36"/>
      <c r="L733" s="36"/>
      <c r="M733" s="36"/>
      <c r="N733" s="36"/>
      <c r="O733" s="36"/>
      <c r="P733" s="36"/>
      <c r="Q733" s="36"/>
      <c r="R733" s="36"/>
      <c r="S733" s="36"/>
      <c r="T733" s="36"/>
      <c r="U733" s="9">
        <v>2.0833333333333332E-2</v>
      </c>
      <c r="V733" s="9"/>
      <c r="W733" s="9"/>
      <c r="X733" s="5">
        <v>1</v>
      </c>
      <c r="Y733" s="5">
        <v>2</v>
      </c>
      <c r="Z733" s="25" t="s">
        <v>1331</v>
      </c>
      <c r="AA733" s="30"/>
    </row>
    <row r="734" spans="1:27" ht="18" x14ac:dyDescent="0.45">
      <c r="A734" s="5">
        <v>732</v>
      </c>
      <c r="B734" s="35" t="s">
        <v>1205</v>
      </c>
      <c r="C734" s="3" t="s">
        <v>1160</v>
      </c>
      <c r="D734" s="36" t="s">
        <v>1195</v>
      </c>
      <c r="E734" s="36"/>
      <c r="F734" s="36"/>
      <c r="G734" s="36"/>
      <c r="H734" s="36"/>
      <c r="I734" s="36"/>
      <c r="J734" s="36"/>
      <c r="K734" s="36"/>
      <c r="L734" s="36"/>
      <c r="M734" s="36"/>
      <c r="N734" s="36"/>
      <c r="O734" s="36"/>
      <c r="P734" s="36"/>
      <c r="Q734" s="36"/>
      <c r="R734" s="36"/>
      <c r="S734" s="36"/>
      <c r="T734" s="36"/>
      <c r="U734" s="9">
        <v>6.9444444444444441E-3</v>
      </c>
      <c r="V734" s="9"/>
      <c r="W734" s="9"/>
      <c r="X734" s="5">
        <v>1</v>
      </c>
      <c r="Y734" s="5">
        <v>1</v>
      </c>
      <c r="Z734" s="25" t="s">
        <v>1206</v>
      </c>
      <c r="AA734" s="30"/>
    </row>
    <row r="735" spans="1:27" ht="18" x14ac:dyDescent="0.45">
      <c r="A735" s="5">
        <v>733</v>
      </c>
      <c r="B735" s="35" t="s">
        <v>1208</v>
      </c>
      <c r="C735" s="3" t="s">
        <v>1207</v>
      </c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36"/>
      <c r="O735" s="36"/>
      <c r="P735" s="36"/>
      <c r="Q735" s="36"/>
      <c r="R735" s="36"/>
      <c r="S735" s="36"/>
      <c r="T735" s="36"/>
      <c r="U735" s="9"/>
      <c r="V735" s="9"/>
      <c r="W735" s="9"/>
      <c r="X735" s="5">
        <v>1</v>
      </c>
      <c r="Y735" s="5">
        <v>1</v>
      </c>
      <c r="Z735" s="25" t="s">
        <v>1266</v>
      </c>
      <c r="AA735" s="30"/>
    </row>
    <row r="736" spans="1:27" ht="18" x14ac:dyDescent="0.45">
      <c r="A736" s="5">
        <v>734</v>
      </c>
      <c r="B736" s="35" t="s">
        <v>1210</v>
      </c>
      <c r="C736" s="3" t="s">
        <v>1209</v>
      </c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36"/>
      <c r="O736" s="36"/>
      <c r="P736" s="36"/>
      <c r="Q736" s="36"/>
      <c r="R736" s="36"/>
      <c r="S736" s="36"/>
      <c r="T736" s="36"/>
      <c r="U736" s="9"/>
      <c r="V736" s="9"/>
      <c r="W736" s="9"/>
      <c r="X736" s="5">
        <v>1</v>
      </c>
      <c r="Y736" s="5">
        <v>1</v>
      </c>
      <c r="Z736" s="25">
        <v>39</v>
      </c>
      <c r="AA736" s="30"/>
    </row>
    <row r="737" spans="1:27" ht="18" x14ac:dyDescent="0.45">
      <c r="A737" s="5">
        <v>735</v>
      </c>
      <c r="B737" s="35" t="s">
        <v>1211</v>
      </c>
      <c r="C737" s="3" t="s">
        <v>1201</v>
      </c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36"/>
      <c r="O737" s="36"/>
      <c r="P737" s="36"/>
      <c r="Q737" s="36"/>
      <c r="R737" s="36"/>
      <c r="S737" s="36"/>
      <c r="T737" s="36"/>
      <c r="U737" s="9"/>
      <c r="V737" s="9"/>
      <c r="W737" s="9"/>
      <c r="X737" s="5">
        <v>1</v>
      </c>
      <c r="Y737" s="5">
        <v>1</v>
      </c>
      <c r="Z737" s="25" t="s">
        <v>1267</v>
      </c>
      <c r="AA737" s="30"/>
    </row>
    <row r="738" spans="1:27" ht="18" x14ac:dyDescent="0.45">
      <c r="A738" s="5">
        <v>736</v>
      </c>
      <c r="B738" s="35" t="s">
        <v>1214</v>
      </c>
      <c r="C738" s="3" t="s">
        <v>1111</v>
      </c>
      <c r="D738" s="36" t="s">
        <v>1219</v>
      </c>
      <c r="E738" s="36"/>
      <c r="F738" s="36"/>
      <c r="G738" s="36"/>
      <c r="H738" s="36"/>
      <c r="I738" s="36"/>
      <c r="J738" s="36"/>
      <c r="K738" s="36"/>
      <c r="L738" s="36"/>
      <c r="M738" s="36"/>
      <c r="N738" s="36"/>
      <c r="O738" s="36"/>
      <c r="P738" s="36"/>
      <c r="Q738" s="36"/>
      <c r="R738" s="36"/>
      <c r="S738" s="36"/>
      <c r="T738" s="36"/>
      <c r="U738" s="9">
        <v>0.29166666666666669</v>
      </c>
      <c r="V738" s="9"/>
      <c r="W738" s="9"/>
      <c r="X738" s="5">
        <v>1</v>
      </c>
      <c r="Y738" s="5">
        <v>24</v>
      </c>
      <c r="Z738" s="25">
        <v>52</v>
      </c>
      <c r="AA738" s="30"/>
    </row>
    <row r="739" spans="1:27" ht="18" x14ac:dyDescent="0.45">
      <c r="A739" s="5">
        <v>737</v>
      </c>
      <c r="B739" s="35" t="s">
        <v>995</v>
      </c>
      <c r="C739" s="3" t="s">
        <v>1215</v>
      </c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36"/>
      <c r="O739" s="36"/>
      <c r="P739" s="36"/>
      <c r="Q739" s="36"/>
      <c r="R739" s="36"/>
      <c r="S739" s="36"/>
      <c r="T739" s="36"/>
      <c r="U739" s="9"/>
      <c r="V739" s="9"/>
      <c r="W739" s="9"/>
      <c r="X739" s="5">
        <v>1</v>
      </c>
      <c r="Y739" s="5">
        <v>1</v>
      </c>
      <c r="Z739" s="25" t="s">
        <v>1248</v>
      </c>
      <c r="AA739" s="30"/>
    </row>
    <row r="740" spans="1:27" ht="18" x14ac:dyDescent="0.45">
      <c r="A740" s="5">
        <v>738</v>
      </c>
      <c r="B740" s="35" t="s">
        <v>1217</v>
      </c>
      <c r="C740" s="3" t="s">
        <v>1216</v>
      </c>
      <c r="D740" s="36" t="s">
        <v>1218</v>
      </c>
      <c r="E740" s="36"/>
      <c r="F740" s="36"/>
      <c r="G740" s="36"/>
      <c r="H740" s="36"/>
      <c r="I740" s="36"/>
      <c r="J740" s="36"/>
      <c r="K740" s="36"/>
      <c r="L740" s="36"/>
      <c r="M740" s="36"/>
      <c r="N740" s="36"/>
      <c r="O740" s="36"/>
      <c r="P740" s="36"/>
      <c r="Q740" s="36"/>
      <c r="R740" s="36"/>
      <c r="S740" s="36"/>
      <c r="T740" s="36"/>
      <c r="U740" s="9">
        <v>0.16666666666666666</v>
      </c>
      <c r="V740" s="9"/>
      <c r="W740" s="9"/>
      <c r="X740" s="5">
        <v>1</v>
      </c>
      <c r="Y740" s="5">
        <v>7</v>
      </c>
      <c r="Z740" s="25" t="s">
        <v>1268</v>
      </c>
      <c r="AA740" s="30"/>
    </row>
    <row r="741" spans="1:27" ht="18" x14ac:dyDescent="0.45">
      <c r="A741" s="5">
        <v>739</v>
      </c>
      <c r="B741" s="35" t="s">
        <v>1220</v>
      </c>
      <c r="C741" s="3" t="s">
        <v>1216</v>
      </c>
      <c r="D741" s="36" t="s">
        <v>1221</v>
      </c>
      <c r="E741" s="36"/>
      <c r="F741" s="36"/>
      <c r="G741" s="36"/>
      <c r="H741" s="36"/>
      <c r="I741" s="36"/>
      <c r="J741" s="36"/>
      <c r="K741" s="36"/>
      <c r="L741" s="36"/>
      <c r="M741" s="36"/>
      <c r="N741" s="36"/>
      <c r="O741" s="36"/>
      <c r="P741" s="36"/>
      <c r="Q741" s="36"/>
      <c r="R741" s="36"/>
      <c r="S741" s="36"/>
      <c r="T741" s="36"/>
      <c r="U741" s="9">
        <v>0.29166666666666669</v>
      </c>
      <c r="V741" s="9"/>
      <c r="W741" s="9"/>
      <c r="X741" s="5">
        <v>1</v>
      </c>
      <c r="Y741" s="5">
        <v>7</v>
      </c>
      <c r="Z741" s="25" t="s">
        <v>1269</v>
      </c>
      <c r="AA741" s="30"/>
    </row>
    <row r="742" spans="1:27" ht="18" x14ac:dyDescent="0.45">
      <c r="A742" s="5">
        <v>740</v>
      </c>
      <c r="B742" s="35" t="s">
        <v>1232</v>
      </c>
      <c r="C742" s="3" t="s">
        <v>1110</v>
      </c>
      <c r="D742" s="36" t="s">
        <v>1233</v>
      </c>
      <c r="E742" s="36"/>
      <c r="F742" s="36"/>
      <c r="G742" s="36"/>
      <c r="H742" s="36"/>
      <c r="I742" s="36"/>
      <c r="J742" s="36"/>
      <c r="K742" s="36"/>
      <c r="L742" s="36"/>
      <c r="M742" s="36"/>
      <c r="N742" s="36"/>
      <c r="O742" s="36"/>
      <c r="P742" s="36"/>
      <c r="Q742" s="36"/>
      <c r="R742" s="36"/>
      <c r="S742" s="36"/>
      <c r="T742" s="36"/>
      <c r="U742" s="9">
        <v>0.29166666666666669</v>
      </c>
      <c r="V742" s="9"/>
      <c r="W742" s="9"/>
      <c r="X742" s="5">
        <v>1</v>
      </c>
      <c r="Y742" s="5">
        <v>25</v>
      </c>
      <c r="Z742" s="25" t="s">
        <v>1270</v>
      </c>
      <c r="AA742" s="30"/>
    </row>
    <row r="743" spans="1:27" ht="18" x14ac:dyDescent="0.45">
      <c r="A743" s="5">
        <v>741</v>
      </c>
      <c r="B743" s="35" t="s">
        <v>1234</v>
      </c>
      <c r="C743" s="3" t="s">
        <v>1084</v>
      </c>
      <c r="D743" s="36" t="s">
        <v>1233</v>
      </c>
      <c r="E743" s="36"/>
      <c r="F743" s="36"/>
      <c r="G743" s="36"/>
      <c r="H743" s="36"/>
      <c r="I743" s="36"/>
      <c r="J743" s="36"/>
      <c r="K743" s="36"/>
      <c r="L743" s="36"/>
      <c r="M743" s="36"/>
      <c r="N743" s="36"/>
      <c r="O743" s="36"/>
      <c r="P743" s="36"/>
      <c r="Q743" s="36"/>
      <c r="R743" s="36"/>
      <c r="S743" s="36"/>
      <c r="T743" s="36"/>
      <c r="U743" s="9">
        <v>0.29166666666666669</v>
      </c>
      <c r="V743" s="9"/>
      <c r="W743" s="9"/>
      <c r="X743" s="5">
        <v>1</v>
      </c>
      <c r="Y743" s="5">
        <v>25</v>
      </c>
      <c r="Z743" s="25" t="s">
        <v>1235</v>
      </c>
      <c r="AA743" s="30"/>
    </row>
    <row r="744" spans="1:27" ht="18" x14ac:dyDescent="0.45">
      <c r="A744" s="5">
        <v>742</v>
      </c>
      <c r="B744" s="35" t="s">
        <v>1236</v>
      </c>
      <c r="C744" s="3" t="s">
        <v>3</v>
      </c>
      <c r="D744" s="36" t="s">
        <v>1238</v>
      </c>
      <c r="E744" s="36"/>
      <c r="F744" s="36"/>
      <c r="G744" s="36"/>
      <c r="H744" s="36"/>
      <c r="I744" s="36"/>
      <c r="J744" s="36"/>
      <c r="K744" s="36"/>
      <c r="L744" s="36"/>
      <c r="M744" s="36"/>
      <c r="N744" s="36"/>
      <c r="O744" s="36"/>
      <c r="P744" s="36"/>
      <c r="Q744" s="36"/>
      <c r="R744" s="36"/>
      <c r="S744" s="36"/>
      <c r="T744" s="36"/>
      <c r="U744" s="9"/>
      <c r="V744" s="9"/>
      <c r="W744" s="9"/>
      <c r="X744" s="5">
        <v>1</v>
      </c>
      <c r="Y744" s="5">
        <v>2</v>
      </c>
      <c r="Z744" s="25" t="s">
        <v>1237</v>
      </c>
      <c r="AA744" s="30"/>
    </row>
    <row r="745" spans="1:27" ht="18" x14ac:dyDescent="0.45">
      <c r="A745" s="5">
        <v>743</v>
      </c>
      <c r="B745" s="35" t="s">
        <v>1241</v>
      </c>
      <c r="C745" s="3" t="s">
        <v>1242</v>
      </c>
      <c r="D745" s="36" t="s">
        <v>4</v>
      </c>
      <c r="E745" s="36"/>
      <c r="F745" s="36"/>
      <c r="G745" s="36"/>
      <c r="H745" s="36"/>
      <c r="I745" s="36"/>
      <c r="J745" s="36"/>
      <c r="K745" s="36"/>
      <c r="L745" s="36"/>
      <c r="M745" s="36"/>
      <c r="N745" s="36"/>
      <c r="O745" s="36"/>
      <c r="P745" s="36"/>
      <c r="Q745" s="36"/>
      <c r="R745" s="36"/>
      <c r="S745" s="36"/>
      <c r="T745" s="36"/>
      <c r="U745" s="9">
        <v>0.16666666666666666</v>
      </c>
      <c r="V745" s="9"/>
      <c r="W745" s="9"/>
      <c r="X745" s="5">
        <v>1</v>
      </c>
      <c r="Y745" s="5">
        <v>5</v>
      </c>
      <c r="Z745" s="49" t="s">
        <v>1243</v>
      </c>
      <c r="AA745" s="30"/>
    </row>
    <row r="746" spans="1:27" ht="18" x14ac:dyDescent="0.45">
      <c r="A746" s="5">
        <v>744</v>
      </c>
      <c r="B746" s="35" t="s">
        <v>1228</v>
      </c>
      <c r="C746" s="3" t="s">
        <v>1244</v>
      </c>
      <c r="D746" s="36" t="s">
        <v>200</v>
      </c>
      <c r="E746" s="36"/>
      <c r="F746" s="36"/>
      <c r="G746" s="36"/>
      <c r="H746" s="36"/>
      <c r="I746" s="36"/>
      <c r="J746" s="36"/>
      <c r="K746" s="36"/>
      <c r="L746" s="36"/>
      <c r="M746" s="36"/>
      <c r="N746" s="36"/>
      <c r="O746" s="36"/>
      <c r="P746" s="36"/>
      <c r="Q746" s="36"/>
      <c r="R746" s="36"/>
      <c r="S746" s="36"/>
      <c r="T746" s="36"/>
      <c r="U746" s="9">
        <v>0.125</v>
      </c>
      <c r="V746" s="9"/>
      <c r="W746" s="9"/>
      <c r="X746" s="5">
        <v>1</v>
      </c>
      <c r="Y746" s="5">
        <v>1</v>
      </c>
      <c r="Z746" s="25">
        <v>4.0999999999999996</v>
      </c>
      <c r="AA746" s="30"/>
    </row>
    <row r="747" spans="1:27" ht="18" x14ac:dyDescent="0.45">
      <c r="A747" s="5">
        <v>745</v>
      </c>
      <c r="B747" s="35" t="s">
        <v>1229</v>
      </c>
      <c r="C747" s="3" t="s">
        <v>1245</v>
      </c>
      <c r="D747" s="36" t="s">
        <v>200</v>
      </c>
      <c r="E747" s="36"/>
      <c r="F747" s="36"/>
      <c r="G747" s="36"/>
      <c r="H747" s="36"/>
      <c r="I747" s="36"/>
      <c r="J747" s="36"/>
      <c r="K747" s="36"/>
      <c r="L747" s="36"/>
      <c r="M747" s="36"/>
      <c r="N747" s="36"/>
      <c r="O747" s="36"/>
      <c r="P747" s="36"/>
      <c r="Q747" s="36"/>
      <c r="R747" s="36"/>
      <c r="S747" s="36"/>
      <c r="T747" s="36"/>
      <c r="U747" s="9">
        <v>0.125</v>
      </c>
      <c r="V747" s="9"/>
      <c r="W747" s="9"/>
      <c r="X747" s="5">
        <v>1</v>
      </c>
      <c r="Y747" s="5">
        <v>1</v>
      </c>
      <c r="Z747" s="25">
        <v>2.8</v>
      </c>
      <c r="AA747" s="30"/>
    </row>
    <row r="748" spans="1:27" ht="18" x14ac:dyDescent="0.45">
      <c r="A748" s="5">
        <v>746</v>
      </c>
      <c r="B748" s="35" t="s">
        <v>1246</v>
      </c>
      <c r="C748" s="3" t="s">
        <v>1110</v>
      </c>
      <c r="D748" s="36" t="s">
        <v>205</v>
      </c>
      <c r="E748" s="36"/>
      <c r="F748" s="36"/>
      <c r="G748" s="36"/>
      <c r="H748" s="36"/>
      <c r="I748" s="36"/>
      <c r="J748" s="36"/>
      <c r="K748" s="36"/>
      <c r="L748" s="36"/>
      <c r="M748" s="36"/>
      <c r="N748" s="36"/>
      <c r="O748" s="36"/>
      <c r="P748" s="36"/>
      <c r="Q748" s="36"/>
      <c r="R748" s="36"/>
      <c r="S748" s="36"/>
      <c r="T748" s="36"/>
      <c r="U748" s="9">
        <v>0.33333333333333331</v>
      </c>
      <c r="V748" s="9"/>
      <c r="W748" s="9"/>
      <c r="X748" s="5">
        <v>1</v>
      </c>
      <c r="Y748" s="5">
        <v>25</v>
      </c>
      <c r="Z748" s="25" t="s">
        <v>1247</v>
      </c>
      <c r="AA748" s="30"/>
    </row>
    <row r="749" spans="1:27" ht="18" x14ac:dyDescent="0.45">
      <c r="A749" s="5">
        <v>747</v>
      </c>
      <c r="B749" s="35" t="s">
        <v>1018</v>
      </c>
      <c r="C749" s="3" t="s">
        <v>1249</v>
      </c>
      <c r="D749" s="36" t="s">
        <v>4</v>
      </c>
      <c r="E749" s="36"/>
      <c r="F749" s="36"/>
      <c r="G749" s="36"/>
      <c r="H749" s="36"/>
      <c r="I749" s="36"/>
      <c r="J749" s="36"/>
      <c r="K749" s="36"/>
      <c r="L749" s="36"/>
      <c r="M749" s="36"/>
      <c r="N749" s="36"/>
      <c r="O749" s="36"/>
      <c r="P749" s="36"/>
      <c r="Q749" s="36"/>
      <c r="R749" s="36"/>
      <c r="S749" s="36"/>
      <c r="T749" s="36"/>
      <c r="U749" s="9">
        <v>1.0416666666666666E-2</v>
      </c>
      <c r="V749" s="9"/>
      <c r="W749" s="9"/>
      <c r="X749" s="5">
        <v>1</v>
      </c>
      <c r="Y749" s="5">
        <v>1</v>
      </c>
      <c r="Z749" s="25">
        <v>2.2000000000000002</v>
      </c>
      <c r="AA749" s="30"/>
    </row>
    <row r="750" spans="1:27" ht="18" x14ac:dyDescent="0.45">
      <c r="A750" s="5">
        <v>748</v>
      </c>
      <c r="B750" s="35" t="s">
        <v>1250</v>
      </c>
      <c r="C750" s="3" t="s">
        <v>933</v>
      </c>
      <c r="D750" s="36" t="s">
        <v>1251</v>
      </c>
      <c r="E750" s="36"/>
      <c r="F750" s="36"/>
      <c r="G750" s="36"/>
      <c r="H750" s="36"/>
      <c r="I750" s="36"/>
      <c r="J750" s="36"/>
      <c r="K750" s="36"/>
      <c r="L750" s="36"/>
      <c r="M750" s="36"/>
      <c r="N750" s="36"/>
      <c r="O750" s="36"/>
      <c r="P750" s="36"/>
      <c r="Q750" s="36"/>
      <c r="R750" s="36"/>
      <c r="S750" s="36"/>
      <c r="T750" s="36"/>
      <c r="U750" s="9">
        <v>0.25</v>
      </c>
      <c r="V750" s="9"/>
      <c r="W750" s="9"/>
      <c r="X750" s="5">
        <v>1</v>
      </c>
      <c r="Y750" s="5">
        <v>1</v>
      </c>
      <c r="Z750" s="25">
        <v>23.4</v>
      </c>
      <c r="AA750" s="30"/>
    </row>
    <row r="751" spans="1:27" ht="18" x14ac:dyDescent="0.45">
      <c r="A751" s="5">
        <v>749</v>
      </c>
      <c r="B751" s="35" t="s">
        <v>1254</v>
      </c>
      <c r="C751" s="3" t="s">
        <v>1127</v>
      </c>
      <c r="D751" s="36" t="s">
        <v>1255</v>
      </c>
      <c r="E751" s="36"/>
      <c r="F751" s="36"/>
      <c r="G751" s="36"/>
      <c r="H751" s="36"/>
      <c r="I751" s="36"/>
      <c r="J751" s="36"/>
      <c r="K751" s="36"/>
      <c r="L751" s="36"/>
      <c r="M751" s="36"/>
      <c r="N751" s="36"/>
      <c r="O751" s="36"/>
      <c r="P751" s="36"/>
      <c r="Q751" s="36"/>
      <c r="R751" s="36"/>
      <c r="S751" s="36"/>
      <c r="T751" s="36"/>
      <c r="U751" s="9"/>
      <c r="V751" s="9"/>
      <c r="W751" s="9"/>
      <c r="X751" s="5">
        <v>1</v>
      </c>
      <c r="Y751" s="5">
        <v>1</v>
      </c>
      <c r="Z751" s="25">
        <v>2.6</v>
      </c>
      <c r="AA751" s="30"/>
    </row>
    <row r="752" spans="1:27" ht="18" x14ac:dyDescent="0.45">
      <c r="A752" s="5">
        <v>750</v>
      </c>
      <c r="B752" s="35" t="s">
        <v>1263</v>
      </c>
      <c r="C752" s="3" t="s">
        <v>933</v>
      </c>
      <c r="D752" s="36" t="s">
        <v>586</v>
      </c>
      <c r="E752" s="36"/>
      <c r="F752" s="36"/>
      <c r="G752" s="36"/>
      <c r="H752" s="36"/>
      <c r="I752" s="36"/>
      <c r="J752" s="36"/>
      <c r="K752" s="36"/>
      <c r="L752" s="36"/>
      <c r="M752" s="36"/>
      <c r="N752" s="36"/>
      <c r="O752" s="36"/>
      <c r="P752" s="36"/>
      <c r="Q752" s="36"/>
      <c r="R752" s="36"/>
      <c r="S752" s="36"/>
      <c r="T752" s="36"/>
      <c r="U752" s="9">
        <v>0.16666666666666666</v>
      </c>
      <c r="V752" s="9"/>
      <c r="W752" s="9"/>
      <c r="X752" s="5">
        <v>1</v>
      </c>
      <c r="Y752" s="5">
        <v>1</v>
      </c>
      <c r="Z752" s="25">
        <v>15.5</v>
      </c>
      <c r="AA752" s="30"/>
    </row>
    <row r="753" spans="1:28" ht="18" x14ac:dyDescent="0.45">
      <c r="A753" s="5">
        <v>751</v>
      </c>
      <c r="B753" s="35" t="s">
        <v>1281</v>
      </c>
      <c r="C753" s="3" t="s">
        <v>1280</v>
      </c>
      <c r="D753" s="36" t="s">
        <v>1109</v>
      </c>
      <c r="E753" s="36"/>
      <c r="F753" s="36"/>
      <c r="G753" s="36"/>
      <c r="H753" s="36"/>
      <c r="I753" s="36"/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  <c r="U753" s="9"/>
      <c r="V753" s="9"/>
      <c r="W753" s="9"/>
      <c r="X753" s="5">
        <v>1</v>
      </c>
      <c r="Y753" s="5">
        <v>1</v>
      </c>
      <c r="Z753" s="25">
        <v>1.2</v>
      </c>
      <c r="AA753" s="30"/>
    </row>
    <row r="754" spans="1:28" ht="18" x14ac:dyDescent="0.45">
      <c r="A754" s="5">
        <v>752</v>
      </c>
      <c r="B754" s="35" t="s">
        <v>1282</v>
      </c>
      <c r="C754" s="3" t="s">
        <v>1280</v>
      </c>
      <c r="D754" s="36" t="s">
        <v>586</v>
      </c>
      <c r="E754" s="36"/>
      <c r="F754" s="36"/>
      <c r="G754" s="36"/>
      <c r="H754" s="36"/>
      <c r="I754" s="36"/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  <c r="U754" s="9"/>
      <c r="V754" s="9"/>
      <c r="W754" s="9"/>
      <c r="X754" s="5">
        <v>1</v>
      </c>
      <c r="Y754" s="5">
        <v>1</v>
      </c>
      <c r="Z754" s="25">
        <v>1.2</v>
      </c>
      <c r="AA754" s="30"/>
    </row>
    <row r="755" spans="1:28" ht="18" x14ac:dyDescent="0.45">
      <c r="A755" s="5">
        <v>753</v>
      </c>
      <c r="B755" s="35" t="s">
        <v>1284</v>
      </c>
      <c r="C755" s="3" t="s">
        <v>1283</v>
      </c>
      <c r="D755" s="36" t="s">
        <v>1109</v>
      </c>
      <c r="E755" s="36"/>
      <c r="F755" s="36"/>
      <c r="G755" s="36"/>
      <c r="H755" s="36"/>
      <c r="I755" s="36"/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  <c r="U755" s="9"/>
      <c r="V755" s="9"/>
      <c r="W755" s="9"/>
      <c r="X755" s="5">
        <v>1</v>
      </c>
      <c r="Y755" s="5">
        <v>1</v>
      </c>
      <c r="Z755" s="25" t="s">
        <v>953</v>
      </c>
      <c r="AA755" s="30"/>
    </row>
    <row r="756" spans="1:28" ht="18" x14ac:dyDescent="0.45">
      <c r="A756" s="5">
        <v>754</v>
      </c>
      <c r="B756" s="35" t="s">
        <v>1322</v>
      </c>
      <c r="C756" s="3" t="s">
        <v>1321</v>
      </c>
      <c r="D756" s="36" t="s">
        <v>1323</v>
      </c>
      <c r="E756" s="36"/>
      <c r="F756" s="36"/>
      <c r="G756" s="36"/>
      <c r="H756" s="36"/>
      <c r="I756" s="36"/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  <c r="U756" s="9"/>
      <c r="V756" s="9"/>
      <c r="W756" s="9"/>
      <c r="X756" s="5">
        <v>1</v>
      </c>
      <c r="Y756" s="5">
        <v>1</v>
      </c>
      <c r="Z756" s="25">
        <v>16</v>
      </c>
      <c r="AA756" s="30"/>
    </row>
    <row r="757" spans="1:28" ht="18" x14ac:dyDescent="0.45">
      <c r="A757" s="5">
        <v>755</v>
      </c>
      <c r="B757" s="35" t="s">
        <v>1325</v>
      </c>
      <c r="C757" s="3" t="s">
        <v>1324</v>
      </c>
      <c r="D757" s="36" t="s">
        <v>4</v>
      </c>
      <c r="E757" s="36"/>
      <c r="F757" s="36"/>
      <c r="G757" s="36"/>
      <c r="H757" s="36"/>
      <c r="I757" s="36"/>
      <c r="J757" s="36"/>
      <c r="K757" s="36"/>
      <c r="L757" s="36"/>
      <c r="M757" s="36"/>
      <c r="N757" s="36"/>
      <c r="O757" s="36"/>
      <c r="P757" s="36"/>
      <c r="Q757" s="36"/>
      <c r="R757" s="36"/>
      <c r="S757" s="36"/>
      <c r="T757" s="36"/>
      <c r="U757" s="9"/>
      <c r="V757" s="9"/>
      <c r="W757" s="9"/>
      <c r="X757" s="5">
        <v>1</v>
      </c>
      <c r="Y757" s="5">
        <v>2</v>
      </c>
      <c r="Z757" s="25">
        <v>11</v>
      </c>
      <c r="AA757" s="30"/>
    </row>
    <row r="758" spans="1:28" ht="18" x14ac:dyDescent="0.45">
      <c r="A758" s="5">
        <v>756</v>
      </c>
      <c r="B758" s="35" t="s">
        <v>1326</v>
      </c>
      <c r="C758" s="3" t="s">
        <v>1089</v>
      </c>
      <c r="D758" s="36" t="s">
        <v>586</v>
      </c>
      <c r="E758" s="36"/>
      <c r="F758" s="36"/>
      <c r="G758" s="36"/>
      <c r="H758" s="36"/>
      <c r="I758" s="36"/>
      <c r="J758" s="36"/>
      <c r="K758" s="36"/>
      <c r="L758" s="36"/>
      <c r="M758" s="36"/>
      <c r="N758" s="36"/>
      <c r="O758" s="36"/>
      <c r="P758" s="36"/>
      <c r="Q758" s="36"/>
      <c r="R758" s="36"/>
      <c r="S758" s="36"/>
      <c r="T758" s="36"/>
      <c r="U758" s="9">
        <v>0.25</v>
      </c>
      <c r="V758" s="9"/>
      <c r="W758" s="9"/>
      <c r="X758" s="5">
        <v>1</v>
      </c>
      <c r="Y758" s="5">
        <v>1</v>
      </c>
      <c r="Z758" s="25">
        <v>20.8</v>
      </c>
      <c r="AA758" s="30"/>
    </row>
    <row r="759" spans="1:28" ht="18" x14ac:dyDescent="0.45">
      <c r="A759" s="5"/>
      <c r="B759" s="35" t="s">
        <v>1443</v>
      </c>
      <c r="C759" s="3" t="s">
        <v>1440</v>
      </c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36"/>
      <c r="O759" s="36"/>
      <c r="P759" s="36"/>
      <c r="Q759" s="36"/>
      <c r="R759" s="36"/>
      <c r="S759" s="36"/>
      <c r="T759" s="36"/>
      <c r="U759" s="9"/>
      <c r="V759" s="9"/>
      <c r="W759" s="9"/>
      <c r="X759" s="5"/>
      <c r="Y759" s="5"/>
      <c r="Z759" s="25"/>
      <c r="AA759" s="30"/>
    </row>
    <row r="760" spans="1:28" ht="18" x14ac:dyDescent="0.45">
      <c r="A760" s="5"/>
      <c r="B760" s="35" t="s">
        <v>1444</v>
      </c>
      <c r="C760" s="3" t="s">
        <v>1311</v>
      </c>
      <c r="D760" s="36" t="s">
        <v>586</v>
      </c>
      <c r="E760" s="36"/>
      <c r="F760" s="36"/>
      <c r="G760" s="36"/>
      <c r="H760" s="36"/>
      <c r="I760" s="36"/>
      <c r="J760" s="36"/>
      <c r="K760" s="36"/>
      <c r="L760" s="36"/>
      <c r="M760" s="36"/>
      <c r="N760" s="36"/>
      <c r="O760" s="36"/>
      <c r="P760" s="36"/>
      <c r="Q760" s="36"/>
      <c r="R760" s="36"/>
      <c r="S760" s="36"/>
      <c r="T760" s="36"/>
      <c r="U760" s="9"/>
      <c r="V760" s="9"/>
      <c r="W760" s="9"/>
      <c r="X760" s="5"/>
      <c r="Y760" s="5"/>
      <c r="Z760" s="25"/>
      <c r="AA760" s="30"/>
    </row>
    <row r="761" spans="1:28" ht="18" x14ac:dyDescent="0.45">
      <c r="A761" s="5"/>
      <c r="B761" s="35" t="s">
        <v>1445</v>
      </c>
      <c r="C761" s="3" t="s">
        <v>1319</v>
      </c>
      <c r="D761" s="36" t="s">
        <v>586</v>
      </c>
      <c r="E761" s="36"/>
      <c r="F761" s="36"/>
      <c r="G761" s="36"/>
      <c r="H761" s="36"/>
      <c r="I761" s="36"/>
      <c r="J761" s="36"/>
      <c r="K761" s="36"/>
      <c r="L761" s="36"/>
      <c r="M761" s="36"/>
      <c r="N761" s="36"/>
      <c r="O761" s="36"/>
      <c r="P761" s="36"/>
      <c r="Q761" s="36"/>
      <c r="R761" s="36"/>
      <c r="S761" s="36"/>
      <c r="T761" s="36"/>
      <c r="U761" s="9"/>
      <c r="V761" s="9"/>
      <c r="W761" s="9"/>
      <c r="X761" s="5"/>
      <c r="Y761" s="5"/>
      <c r="Z761" s="25"/>
      <c r="AA761" s="30"/>
    </row>
    <row r="762" spans="1:28" ht="18" x14ac:dyDescent="0.45">
      <c r="A762" s="5"/>
      <c r="B762" s="35" t="s">
        <v>1446</v>
      </c>
      <c r="C762" s="3" t="s">
        <v>1312</v>
      </c>
      <c r="D762" s="36" t="s">
        <v>586</v>
      </c>
      <c r="E762" s="36"/>
      <c r="F762" s="36"/>
      <c r="G762" s="36"/>
      <c r="H762" s="36"/>
      <c r="I762" s="36"/>
      <c r="J762" s="36"/>
      <c r="K762" s="36"/>
      <c r="L762" s="36"/>
      <c r="M762" s="36"/>
      <c r="N762" s="36"/>
      <c r="O762" s="36"/>
      <c r="P762" s="36"/>
      <c r="Q762" s="36"/>
      <c r="R762" s="36"/>
      <c r="S762" s="36"/>
      <c r="T762" s="36"/>
      <c r="U762" s="9"/>
      <c r="V762" s="9"/>
      <c r="W762" s="9"/>
      <c r="X762" s="5"/>
      <c r="Y762" s="5"/>
      <c r="Z762" s="25"/>
      <c r="AA762" s="30"/>
    </row>
    <row r="763" spans="1:28" ht="18" x14ac:dyDescent="0.45">
      <c r="A763" s="5"/>
      <c r="B763" s="35" t="s">
        <v>1447</v>
      </c>
      <c r="C763" s="3" t="s">
        <v>1320</v>
      </c>
      <c r="D763" s="36" t="s">
        <v>586</v>
      </c>
      <c r="E763" s="36"/>
      <c r="F763" s="36"/>
      <c r="G763" s="36"/>
      <c r="H763" s="36"/>
      <c r="I763" s="36"/>
      <c r="J763" s="36"/>
      <c r="K763" s="36"/>
      <c r="L763" s="36"/>
      <c r="M763" s="36"/>
      <c r="N763" s="36"/>
      <c r="O763" s="36"/>
      <c r="P763" s="36"/>
      <c r="Q763" s="36"/>
      <c r="R763" s="36"/>
      <c r="S763" s="36"/>
      <c r="T763" s="36"/>
      <c r="U763" s="9"/>
      <c r="V763" s="9"/>
      <c r="W763" s="9"/>
      <c r="X763" s="5"/>
      <c r="Y763" s="5"/>
      <c r="Z763" s="25"/>
      <c r="AA763" s="30"/>
    </row>
    <row r="764" spans="1:28" ht="18" x14ac:dyDescent="0.45">
      <c r="A764" s="5"/>
      <c r="B764" s="35" t="s">
        <v>1448</v>
      </c>
      <c r="C764" s="3" t="s">
        <v>1161</v>
      </c>
      <c r="D764" s="36" t="s">
        <v>586</v>
      </c>
      <c r="E764" s="36"/>
      <c r="F764" s="36"/>
      <c r="G764" s="36"/>
      <c r="H764" s="36"/>
      <c r="I764" s="36"/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  <c r="U764" s="9"/>
      <c r="V764" s="9"/>
      <c r="W764" s="9"/>
      <c r="X764" s="5"/>
      <c r="Y764" s="5"/>
      <c r="Z764" s="25"/>
      <c r="AA764" s="30"/>
    </row>
    <row r="765" spans="1:28" ht="18" x14ac:dyDescent="0.45">
      <c r="A765" s="5"/>
      <c r="B765" s="35" t="s">
        <v>1453</v>
      </c>
      <c r="C765" s="3" t="s">
        <v>1438</v>
      </c>
      <c r="D765" s="36" t="s">
        <v>586</v>
      </c>
      <c r="E765" s="36"/>
      <c r="F765" s="36"/>
      <c r="G765" s="36"/>
      <c r="H765" s="36"/>
      <c r="I765" s="36"/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  <c r="U765" s="9"/>
      <c r="V765" s="9"/>
      <c r="W765" s="9"/>
      <c r="X765" s="5"/>
      <c r="Y765" s="5"/>
      <c r="Z765" s="25"/>
      <c r="AA765" s="30"/>
    </row>
    <row r="766" spans="1:28" ht="18" x14ac:dyDescent="0.45">
      <c r="A766" s="5"/>
      <c r="B766" s="35"/>
      <c r="C766" s="3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114"/>
      <c r="U766" s="9"/>
      <c r="V766" s="9"/>
      <c r="W766" s="9"/>
      <c r="X766" s="5"/>
      <c r="Y766" s="5"/>
      <c r="Z766" s="25"/>
      <c r="AA766" s="30"/>
      <c r="AB766" s="30"/>
    </row>
    <row r="767" spans="1:28" ht="18" x14ac:dyDescent="0.45">
      <c r="A767" s="5"/>
      <c r="B767" s="35"/>
      <c r="C767" s="3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  <c r="U767" s="9"/>
      <c r="V767" s="9"/>
      <c r="W767" s="9"/>
      <c r="X767" s="5"/>
      <c r="Y767" s="5"/>
      <c r="Z767" s="25"/>
      <c r="AA767" s="30"/>
      <c r="AB767" s="30"/>
    </row>
    <row r="768" spans="1:28" ht="18" x14ac:dyDescent="0.45">
      <c r="A768" s="5"/>
      <c r="B768" s="35"/>
      <c r="C768" s="3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  <c r="U768" s="9"/>
      <c r="V768" s="9"/>
      <c r="W768" s="9"/>
      <c r="X768" s="5"/>
      <c r="Y768" s="5"/>
      <c r="Z768" s="25"/>
      <c r="AA768" s="30"/>
      <c r="AB768" s="30"/>
    </row>
    <row r="769" spans="1:28" ht="18" x14ac:dyDescent="0.45">
      <c r="A769" s="5"/>
      <c r="B769" s="35"/>
      <c r="C769" s="3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  <c r="U769" s="9"/>
      <c r="V769" s="9"/>
      <c r="W769" s="9"/>
      <c r="X769" s="5"/>
      <c r="Y769" s="5"/>
      <c r="Z769" s="25"/>
      <c r="AA769" s="30"/>
      <c r="AB769" s="30"/>
    </row>
    <row r="770" spans="1:28" ht="18" x14ac:dyDescent="0.45">
      <c r="A770" s="5"/>
      <c r="B770" s="35"/>
      <c r="C770" s="3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  <c r="U770" s="9"/>
      <c r="V770" s="9"/>
      <c r="W770" s="9"/>
      <c r="X770" s="5"/>
      <c r="Y770" s="5"/>
      <c r="Z770" s="25"/>
      <c r="AA770" s="30"/>
      <c r="AB770" s="30"/>
    </row>
    <row r="771" spans="1:28" ht="18" x14ac:dyDescent="0.45">
      <c r="A771" s="5"/>
      <c r="B771" s="35"/>
      <c r="C771" s="3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  <c r="U771" s="9"/>
      <c r="V771" s="9"/>
      <c r="W771" s="9"/>
      <c r="X771" s="5"/>
      <c r="Y771" s="5"/>
      <c r="Z771" s="25"/>
      <c r="AA771" s="30"/>
      <c r="AB771" s="30"/>
    </row>
    <row r="772" spans="1:28" ht="18" x14ac:dyDescent="0.45">
      <c r="A772" s="5"/>
      <c r="B772" s="35"/>
      <c r="C772" s="3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  <c r="U772" s="9"/>
      <c r="V772" s="9"/>
      <c r="W772" s="9"/>
      <c r="X772" s="5"/>
      <c r="Y772" s="5"/>
      <c r="Z772" s="25"/>
      <c r="AA772" s="30"/>
      <c r="AB772" s="30"/>
    </row>
    <row r="773" spans="1:28" ht="18" x14ac:dyDescent="0.45">
      <c r="A773" s="5"/>
      <c r="B773" s="35"/>
      <c r="C773" s="3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  <c r="U773" s="9"/>
      <c r="V773" s="9"/>
      <c r="W773" s="9"/>
      <c r="X773" s="5"/>
      <c r="Y773" s="5"/>
      <c r="Z773" s="25"/>
      <c r="AA773" s="30"/>
      <c r="AB773" s="30"/>
    </row>
    <row r="774" spans="1:28" ht="18" x14ac:dyDescent="0.45">
      <c r="A774" s="5"/>
      <c r="B774" s="35"/>
      <c r="C774" s="3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  <c r="U774" s="9"/>
      <c r="V774" s="9"/>
      <c r="W774" s="9"/>
      <c r="X774" s="5"/>
      <c r="Y774" s="5"/>
      <c r="Z774" s="25"/>
      <c r="AA774" s="30"/>
      <c r="AB774" s="30"/>
    </row>
    <row r="775" spans="1:28" ht="18" x14ac:dyDescent="0.45">
      <c r="A775" s="5"/>
      <c r="B775" s="35"/>
      <c r="C775" s="3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  <c r="U775" s="9"/>
      <c r="V775" s="9"/>
      <c r="W775" s="9"/>
      <c r="X775" s="5"/>
      <c r="Y775" s="5"/>
      <c r="Z775" s="25"/>
      <c r="AA775" s="30"/>
      <c r="AB775" s="30"/>
    </row>
  </sheetData>
  <autoFilter ref="A2:AA765"/>
  <mergeCells count="7">
    <mergeCell ref="G1:J1"/>
    <mergeCell ref="C191:C192"/>
    <mergeCell ref="C88:C89"/>
    <mergeCell ref="C90:C91"/>
    <mergeCell ref="C176:C177"/>
    <mergeCell ref="C181:C182"/>
    <mergeCell ref="C186:C187"/>
  </mergeCells>
  <hyperlinks>
    <hyperlink ref="E584" r:id="rId1"/>
    <hyperlink ref="G584" r:id="rId2"/>
    <hyperlink ref="H584" r:id="rId3"/>
    <hyperlink ref="I584" r:id="rId4"/>
    <hyperlink ref="J584" r:id="rId5"/>
  </hyperlinks>
  <pageMargins left="0.7" right="0.7" top="0.75" bottom="0.75" header="0.3" footer="0.3"/>
  <pageSetup paperSize="9" orientation="portrait" r:id="rId6"/>
  <legacyDrawing r:id="rId7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929F63-B5AD-4A0F-B3E3-B8DB863AAD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coding</vt:lpstr>
      <vt:lpstr>database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Ideapad</dc:creator>
  <cp:lastModifiedBy>seydi</cp:lastModifiedBy>
  <cp:lastPrinted>2023-04-17T08:27:19Z</cp:lastPrinted>
  <dcterms:created xsi:type="dcterms:W3CDTF">2021-01-13T11:24:31Z</dcterms:created>
  <dcterms:modified xsi:type="dcterms:W3CDTF">2023-06-12T05:21:18Z</dcterms:modified>
</cp:coreProperties>
</file>